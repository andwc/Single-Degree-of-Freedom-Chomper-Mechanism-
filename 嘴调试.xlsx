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2E6D08B-0D06-4D0D-86FB-D5DB683C5BD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2" i="1"/>
  <c r="C426" i="1"/>
  <c r="C42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C415" i="1"/>
  <c r="C416" i="1"/>
  <c r="C417" i="1"/>
  <c r="C418" i="1"/>
  <c r="C419" i="1"/>
  <c r="C420" i="1"/>
  <c r="C421" i="1"/>
  <c r="C422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3" i="1"/>
  <c r="G65" i="1"/>
  <c r="G64" i="1"/>
  <c r="G63" i="1"/>
  <c r="E63" i="1"/>
  <c r="E64" i="1"/>
  <c r="E65" i="1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51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" i="2"/>
  <c r="B52" i="2"/>
  <c r="B53" i="2" s="1"/>
  <c r="D53" i="2" s="1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52" i="2" l="1"/>
  <c r="E53" i="2"/>
  <c r="B54" i="2"/>
  <c r="D54" i="2" s="1"/>
  <c r="E52" i="2"/>
  <c r="E2" i="1"/>
  <c r="G2" i="1" s="1"/>
  <c r="C2" i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3" i="1"/>
  <c r="G3" i="1" s="1"/>
  <c r="B55" i="2" l="1"/>
  <c r="D55" i="2" s="1"/>
  <c r="E54" i="2"/>
  <c r="E55" i="2" l="1"/>
  <c r="B56" i="2"/>
  <c r="D56" i="2" s="1"/>
  <c r="E56" i="2" l="1"/>
  <c r="B57" i="2"/>
  <c r="D57" i="2" s="1"/>
  <c r="E57" i="2" l="1"/>
  <c r="B58" i="2"/>
  <c r="D58" i="2" s="1"/>
  <c r="B59" i="2" l="1"/>
  <c r="D59" i="2" s="1"/>
  <c r="E58" i="2"/>
  <c r="E59" i="2" l="1"/>
  <c r="B60" i="2"/>
  <c r="D60" i="2" s="1"/>
  <c r="E60" i="2" l="1"/>
  <c r="B61" i="2"/>
  <c r="D61" i="2" s="1"/>
  <c r="B62" i="2" l="1"/>
  <c r="D62" i="2" s="1"/>
  <c r="E61" i="2"/>
  <c r="E62" i="2" l="1"/>
  <c r="B63" i="2"/>
  <c r="D63" i="2" s="1"/>
  <c r="E63" i="2" l="1"/>
  <c r="B64" i="2"/>
  <c r="D64" i="2" s="1"/>
  <c r="E64" i="2" l="1"/>
  <c r="B65" i="2"/>
  <c r="D65" i="2" s="1"/>
  <c r="B66" i="2" l="1"/>
  <c r="D66" i="2" s="1"/>
  <c r="E65" i="2"/>
  <c r="E66" i="2" l="1"/>
  <c r="B67" i="2"/>
  <c r="D67" i="2" s="1"/>
  <c r="B68" i="2" l="1"/>
  <c r="D68" i="2" s="1"/>
  <c r="E67" i="2"/>
  <c r="B69" i="2" l="1"/>
  <c r="D69" i="2" s="1"/>
  <c r="E68" i="2"/>
  <c r="B70" i="2" l="1"/>
  <c r="D70" i="2" s="1"/>
  <c r="E69" i="2"/>
  <c r="E70" i="2" l="1"/>
  <c r="B71" i="2"/>
  <c r="G71" i="2" s="1"/>
  <c r="D71" i="2" l="1"/>
  <c r="B72" i="2"/>
  <c r="G72" i="2" s="1"/>
  <c r="E71" i="2"/>
  <c r="E2" i="2"/>
  <c r="B73" i="2" l="1"/>
  <c r="G73" i="2" s="1"/>
  <c r="B74" i="2" l="1"/>
  <c r="G74" i="2" s="1"/>
  <c r="B75" i="2" l="1"/>
  <c r="G75" i="2" s="1"/>
  <c r="B76" i="2" l="1"/>
  <c r="G76" i="2" s="1"/>
  <c r="B77" i="2" l="1"/>
  <c r="G77" i="2" s="1"/>
  <c r="B78" i="2" l="1"/>
  <c r="G78" i="2" s="1"/>
  <c r="B79" i="2" l="1"/>
  <c r="G79" i="2" s="1"/>
  <c r="B80" i="2" l="1"/>
  <c r="G80" i="2" s="1"/>
  <c r="B81" i="2" l="1"/>
  <c r="G81" i="2" s="1"/>
  <c r="B82" i="2" l="1"/>
  <c r="G82" i="2" s="1"/>
  <c r="B83" i="2" l="1"/>
  <c r="G83" i="2" s="1"/>
  <c r="B84" i="2" l="1"/>
  <c r="G84" i="2" s="1"/>
  <c r="B85" i="2" l="1"/>
  <c r="G85" i="2" s="1"/>
  <c r="B86" i="2" l="1"/>
  <c r="G86" i="2" s="1"/>
  <c r="B87" i="2" l="1"/>
  <c r="G87" i="2" s="1"/>
  <c r="B88" i="2" l="1"/>
  <c r="G88" i="2" s="1"/>
  <c r="B89" i="2" l="1"/>
  <c r="G89" i="2" s="1"/>
  <c r="B90" i="2" l="1"/>
  <c r="G90" i="2" s="1"/>
  <c r="B91" i="2" l="1"/>
  <c r="G91" i="2" s="1"/>
  <c r="B92" i="2" l="1"/>
  <c r="G92" i="2" s="1"/>
  <c r="B93" i="2" l="1"/>
  <c r="G93" i="2" s="1"/>
  <c r="B94" i="2" l="1"/>
  <c r="G94" i="2" s="1"/>
  <c r="B95" i="2" l="1"/>
  <c r="G95" i="2" s="1"/>
  <c r="B96" i="2" l="1"/>
  <c r="G96" i="2" s="1"/>
  <c r="B97" i="2" l="1"/>
  <c r="G97" i="2" s="1"/>
  <c r="B98" i="2" l="1"/>
  <c r="G98" i="2" s="1"/>
  <c r="B99" i="2" l="1"/>
  <c r="G99" i="2" s="1"/>
  <c r="B100" i="2" l="1"/>
  <c r="G100" i="2" s="1"/>
  <c r="B101" i="2" l="1"/>
  <c r="G101" i="2" s="1"/>
  <c r="B102" i="2" l="1"/>
  <c r="G102" i="2" s="1"/>
  <c r="B103" i="2" l="1"/>
  <c r="G103" i="2" s="1"/>
  <c r="B104" i="2" l="1"/>
  <c r="G104" i="2" s="1"/>
  <c r="B105" i="2" l="1"/>
  <c r="G105" i="2" s="1"/>
  <c r="B106" i="2" l="1"/>
  <c r="G106" i="2" s="1"/>
  <c r="B107" i="2" l="1"/>
  <c r="G107" i="2" s="1"/>
  <c r="B108" i="2" l="1"/>
  <c r="G108" i="2" s="1"/>
  <c r="B109" i="2" l="1"/>
  <c r="G109" i="2" s="1"/>
  <c r="B110" i="2" l="1"/>
  <c r="G110" i="2" s="1"/>
  <c r="B111" i="2" l="1"/>
  <c r="G111" i="2" s="1"/>
  <c r="B112" i="2" l="1"/>
  <c r="G112" i="2" s="1"/>
  <c r="B113" i="2" l="1"/>
  <c r="G113" i="2" s="1"/>
  <c r="B114" i="2" l="1"/>
  <c r="G114" i="2" s="1"/>
  <c r="B115" i="2" l="1"/>
  <c r="G115" i="2" s="1"/>
  <c r="B116" i="2" l="1"/>
  <c r="G116" i="2" s="1"/>
  <c r="B117" i="2" l="1"/>
  <c r="G117" i="2" s="1"/>
  <c r="B118" i="2" l="1"/>
  <c r="G118" i="2" s="1"/>
  <c r="B119" i="2" l="1"/>
  <c r="G119" i="2" s="1"/>
  <c r="B120" i="2" l="1"/>
  <c r="G120" i="2" s="1"/>
  <c r="B121" i="2" l="1"/>
  <c r="G121" i="2" s="1"/>
  <c r="B122" i="2" l="1"/>
  <c r="G122" i="2" s="1"/>
  <c r="B123" i="2" l="1"/>
  <c r="G123" i="2" s="1"/>
  <c r="B124" i="2" l="1"/>
  <c r="G124" i="2" s="1"/>
  <c r="B125" i="2" l="1"/>
  <c r="G125" i="2" s="1"/>
  <c r="B126" i="2" l="1"/>
  <c r="G126" i="2" s="1"/>
  <c r="B127" i="2" l="1"/>
  <c r="G127" i="2" s="1"/>
  <c r="B128" i="2" l="1"/>
  <c r="G128" i="2" s="1"/>
  <c r="B129" i="2" l="1"/>
  <c r="G129" i="2" s="1"/>
  <c r="B130" i="2" l="1"/>
  <c r="G130" i="2" s="1"/>
  <c r="B131" i="2" l="1"/>
  <c r="G131" i="2" s="1"/>
  <c r="B132" i="2" l="1"/>
  <c r="G132" i="2" s="1"/>
  <c r="B133" i="2" l="1"/>
  <c r="G133" i="2" s="1"/>
  <c r="B134" i="2" l="1"/>
  <c r="G134" i="2" s="1"/>
  <c r="B135" i="2" l="1"/>
  <c r="G135" i="2" s="1"/>
  <c r="B136" i="2" l="1"/>
  <c r="G136" i="2" s="1"/>
  <c r="B137" i="2" l="1"/>
  <c r="G137" i="2" s="1"/>
  <c r="B138" i="2" l="1"/>
  <c r="G138" i="2" s="1"/>
  <c r="B139" i="2" l="1"/>
  <c r="G139" i="2" s="1"/>
  <c r="B140" i="2" l="1"/>
  <c r="G140" i="2" s="1"/>
  <c r="B141" i="2" l="1"/>
  <c r="G141" i="2" s="1"/>
  <c r="B142" i="2" l="1"/>
  <c r="G142" i="2" s="1"/>
  <c r="B143" i="2" l="1"/>
  <c r="G143" i="2" s="1"/>
  <c r="B144" i="2" l="1"/>
  <c r="G144" i="2" s="1"/>
  <c r="B145" i="2" l="1"/>
  <c r="G145" i="2" s="1"/>
  <c r="B146" i="2" l="1"/>
  <c r="G146" i="2" s="1"/>
  <c r="B147" i="2" l="1"/>
  <c r="G147" i="2" s="1"/>
  <c r="B148" i="2" l="1"/>
  <c r="G148" i="2" s="1"/>
  <c r="B149" i="2" l="1"/>
  <c r="G149" i="2" s="1"/>
  <c r="B150" i="2" l="1"/>
  <c r="G150" i="2" s="1"/>
  <c r="B151" i="2" l="1"/>
  <c r="G151" i="2" s="1"/>
  <c r="B152" i="2" l="1"/>
  <c r="G152" i="2" s="1"/>
  <c r="B153" i="2" l="1"/>
  <c r="G153" i="2" s="1"/>
  <c r="B154" i="2" l="1"/>
  <c r="G154" i="2" s="1"/>
  <c r="B155" i="2" l="1"/>
  <c r="G155" i="2" s="1"/>
  <c r="B156" i="2" l="1"/>
  <c r="G156" i="2" s="1"/>
  <c r="B157" i="2" l="1"/>
  <c r="G157" i="2" s="1"/>
  <c r="B158" i="2" l="1"/>
  <c r="G158" i="2" s="1"/>
  <c r="B159" i="2" l="1"/>
  <c r="G159" i="2" s="1"/>
  <c r="B160" i="2" l="1"/>
  <c r="G160" i="2" s="1"/>
  <c r="B161" i="2" l="1"/>
  <c r="G161" i="2" s="1"/>
  <c r="B162" i="2" l="1"/>
  <c r="G162" i="2" s="1"/>
  <c r="B163" i="2" l="1"/>
  <c r="G163" i="2" s="1"/>
  <c r="B164" i="2" l="1"/>
  <c r="G164" i="2" s="1"/>
  <c r="B165" i="2" l="1"/>
  <c r="G165" i="2" s="1"/>
  <c r="B166" i="2" l="1"/>
  <c r="G166" i="2" s="1"/>
  <c r="B167" i="2" l="1"/>
  <c r="G167" i="2" s="1"/>
  <c r="B168" i="2" l="1"/>
  <c r="G168" i="2" s="1"/>
  <c r="B169" i="2" l="1"/>
  <c r="G169" i="2" s="1"/>
  <c r="B170" i="2" l="1"/>
  <c r="G170" i="2" s="1"/>
  <c r="B171" i="2" l="1"/>
  <c r="G171" i="2" s="1"/>
  <c r="B172" i="2" l="1"/>
  <c r="G172" i="2" s="1"/>
  <c r="B173" i="2" l="1"/>
  <c r="G173" i="2" s="1"/>
  <c r="B174" i="2" l="1"/>
  <c r="G174" i="2" s="1"/>
  <c r="B175" i="2" l="1"/>
  <c r="G175" i="2" s="1"/>
  <c r="B176" i="2" l="1"/>
  <c r="G176" i="2" s="1"/>
  <c r="B177" i="2" l="1"/>
  <c r="G177" i="2" s="1"/>
</calcChain>
</file>

<file path=xl/sharedStrings.xml><?xml version="1.0" encoding="utf-8"?>
<sst xmlns="http://schemas.openxmlformats.org/spreadsheetml/2006/main" count="41" uniqueCount="35">
  <si>
    <t>t</t>
    <phoneticPr fontId="1" type="noConversion"/>
  </si>
  <si>
    <t>x</t>
    <phoneticPr fontId="1" type="noConversion"/>
  </si>
  <si>
    <t>ρ</t>
    <phoneticPr fontId="1" type="noConversion"/>
  </si>
  <si>
    <t>上颚</t>
    <phoneticPr fontId="1" type="noConversion"/>
  </si>
  <si>
    <t>咬合</t>
    <phoneticPr fontId="1" type="noConversion"/>
  </si>
  <si>
    <t>φ</t>
    <phoneticPr fontId="1" type="noConversion"/>
  </si>
  <si>
    <t>过程</t>
    <phoneticPr fontId="1" type="noConversion"/>
  </si>
  <si>
    <t>蓄力</t>
    <phoneticPr fontId="1" type="noConversion"/>
  </si>
  <si>
    <t>出击</t>
    <phoneticPr fontId="1" type="noConversion"/>
  </si>
  <si>
    <t>回退</t>
    <phoneticPr fontId="1" type="noConversion"/>
  </si>
  <si>
    <t>rad/s</t>
    <phoneticPr fontId="1" type="noConversion"/>
  </si>
  <si>
    <t>步长</t>
    <phoneticPr fontId="1" type="noConversion"/>
  </si>
  <si>
    <t>主时间t</t>
    <phoneticPr fontId="1" type="noConversion"/>
  </si>
  <si>
    <t>摇摆1</t>
    <phoneticPr fontId="1" type="noConversion"/>
  </si>
  <si>
    <t>摇摆2</t>
    <phoneticPr fontId="1" type="noConversion"/>
  </si>
  <si>
    <t>摇摆2.5</t>
    <phoneticPr fontId="1" type="noConversion"/>
  </si>
  <si>
    <t>茎</t>
    <phoneticPr fontId="1" type="noConversion"/>
  </si>
  <si>
    <t>ω=</t>
  </si>
  <si>
    <t>ω=</t>
    <phoneticPr fontId="1" type="noConversion"/>
  </si>
  <si>
    <t>凸轮时t1</t>
    <phoneticPr fontId="1" type="noConversion"/>
  </si>
  <si>
    <t>凸轮时t2</t>
    <phoneticPr fontId="1" type="noConversion"/>
  </si>
  <si>
    <t>rad/s</t>
  </si>
  <si>
    <t>咀嚼</t>
    <phoneticPr fontId="1" type="noConversion"/>
  </si>
  <si>
    <t>下颚</t>
    <phoneticPr fontId="1" type="noConversion"/>
  </si>
  <si>
    <t>r</t>
    <phoneticPr fontId="1" type="noConversion"/>
  </si>
  <si>
    <t>θ</t>
    <phoneticPr fontId="1" type="noConversion"/>
  </si>
  <si>
    <t>上颚-嘴角角度</t>
  </si>
  <si>
    <t>咀嚼1</t>
    <phoneticPr fontId="1" type="noConversion"/>
  </si>
  <si>
    <t>咀嚼2</t>
    <phoneticPr fontId="1" type="noConversion"/>
  </si>
  <si>
    <t>咀嚼3</t>
    <phoneticPr fontId="1" type="noConversion"/>
  </si>
  <si>
    <t>咀嚼4</t>
    <phoneticPr fontId="1" type="noConversion"/>
  </si>
  <si>
    <t>吞咽</t>
    <phoneticPr fontId="1" type="noConversion"/>
  </si>
  <si>
    <t>总时</t>
    <phoneticPr fontId="1" type="noConversion"/>
  </si>
  <si>
    <t>每个动作</t>
    <phoneticPr fontId="1" type="noConversion"/>
  </si>
  <si>
    <t>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</si>
</sst>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0" fillId="2" borderId="0" xfId="0" applyFill="1"/>
    <xf numFmtId="0" fontId="2" fillId="2" borderId="0" xfId="0" applyFont="1" applyFill="1"/>
    <xf numFmtId="176" fontId="0" fillId="2" borderId="0" xfId="0" applyNumberFormat="1" applyFill="1" applyAlignment="1">
      <alignment horizontal="center" vertical="center"/>
    </xf>
    <xf numFmtId="0" fontId="0" fillId="3" borderId="0" xfId="0" applyFill="1"/>
    <xf numFmtId="176" fontId="0" fillId="2" borderId="0" xfId="0" applyNumberFormat="1" applyFill="1"/>
    <xf numFmtId="176" fontId="0" fillId="2" borderId="0" xfId="0" applyNumberFormat="1" applyFill="1" applyAlignment="1">
      <alignment vertical="center"/>
    </xf>
    <xf numFmtId="0" fontId="0" fillId="2" borderId="0" xfId="0" applyFill="1" applyAlignment="1">
      <alignment horizontal="right"/>
    </xf>
    <xf numFmtId="176" fontId="0" fillId="3" borderId="0" xfId="0" applyNumberFormat="1" applyFill="1"/>
    <xf numFmtId="0" fontId="0" fillId="3" borderId="0" xfId="0" applyFill="1" applyAlignment="1">
      <alignment horizontal="right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6"/>
  <sheetViews>
    <sheetView tabSelected="1" zoomScale="115" zoomScaleNormal="115" workbookViewId="0">
      <selection activeCell="H322" sqref="H322"/>
    </sheetView>
  </sheetViews>
  <sheetFormatPr defaultRowHeight="13.9" x14ac:dyDescent="0.4"/>
  <cols>
    <col min="3" max="3" width="9.06640625" style="1"/>
  </cols>
  <sheetData>
    <row r="1" spans="1:12" x14ac:dyDescent="0.4">
      <c r="B1" t="s">
        <v>3</v>
      </c>
      <c r="C1" s="1" t="s">
        <v>0</v>
      </c>
      <c r="D1" t="s">
        <v>26</v>
      </c>
      <c r="E1" t="s">
        <v>1</v>
      </c>
      <c r="F1" t="s">
        <v>5</v>
      </c>
      <c r="G1" t="s">
        <v>2</v>
      </c>
      <c r="H1" t="s">
        <v>23</v>
      </c>
      <c r="I1" t="s">
        <v>25</v>
      </c>
      <c r="J1" t="s">
        <v>24</v>
      </c>
      <c r="K1" t="s">
        <v>5</v>
      </c>
      <c r="L1" t="s">
        <v>2</v>
      </c>
    </row>
    <row r="2" spans="1:12" x14ac:dyDescent="0.4">
      <c r="A2">
        <v>0</v>
      </c>
      <c r="B2" t="s">
        <v>4</v>
      </c>
      <c r="C2" s="1">
        <f>A2*0.3333</f>
        <v>0</v>
      </c>
      <c r="D2">
        <v>0.73942260436419205</v>
      </c>
      <c r="E2">
        <f>15*SIN(PI()/2-D2+ASIN(2*COS(D2)/3))/COS(D2)</f>
        <v>19.792690868490361</v>
      </c>
      <c r="F2">
        <f>0.498715372107019*C2</f>
        <v>0</v>
      </c>
      <c r="G2">
        <f>30-E2</f>
        <v>10.207309131509639</v>
      </c>
    </row>
    <row r="3" spans="1:12" x14ac:dyDescent="0.4">
      <c r="A3">
        <v>1</v>
      </c>
      <c r="C3" s="1">
        <f>A3*0.03333</f>
        <v>3.3329999999999999E-2</v>
      </c>
      <c r="D3">
        <v>0.7237764273635221</v>
      </c>
      <c r="E3">
        <f>15*SIN(PI()/2-D3+ASIN(2*COS(D3)/3))/COS(D3)</f>
        <v>19.616551886522295</v>
      </c>
      <c r="F3">
        <f t="shared" ref="F3:F66" si="0">0.498715372107019*C3</f>
        <v>1.6622183352326941E-2</v>
      </c>
      <c r="G3">
        <f>30-E3</f>
        <v>10.383448113477705</v>
      </c>
    </row>
    <row r="4" spans="1:12" x14ac:dyDescent="0.4">
      <c r="A4">
        <v>2</v>
      </c>
      <c r="C4" s="1">
        <f t="shared" ref="C4:C67" si="1">A4*0.03333</f>
        <v>6.6659999999999997E-2</v>
      </c>
      <c r="D4">
        <v>0.66727548493119282</v>
      </c>
      <c r="E4">
        <f t="shared" ref="E4:E67" si="2">15*SIN(PI()/2-D4+ASIN(2*COS(D4)/3))/COS(D4)</f>
        <v>18.96726483952439</v>
      </c>
      <c r="F4">
        <f t="shared" si="0"/>
        <v>3.3244366704653881E-2</v>
      </c>
      <c r="G4">
        <f t="shared" ref="G4:G67" si="3">30-E4</f>
        <v>11.03273516047561</v>
      </c>
    </row>
    <row r="5" spans="1:12" x14ac:dyDescent="0.4">
      <c r="A5">
        <v>3</v>
      </c>
      <c r="C5" s="1">
        <f t="shared" si="1"/>
        <v>9.9989999999999996E-2</v>
      </c>
      <c r="D5">
        <v>0.66781926271807479</v>
      </c>
      <c r="E5">
        <f t="shared" si="2"/>
        <v>18.973604019704464</v>
      </c>
      <c r="F5">
        <f t="shared" si="0"/>
        <v>4.9866550056980825E-2</v>
      </c>
      <c r="G5">
        <f t="shared" si="3"/>
        <v>11.026395980295536</v>
      </c>
    </row>
    <row r="6" spans="1:12" x14ac:dyDescent="0.4">
      <c r="A6">
        <v>4</v>
      </c>
      <c r="C6" s="1">
        <f t="shared" si="1"/>
        <v>0.13331999999999999</v>
      </c>
      <c r="D6">
        <v>0.68689259980891859</v>
      </c>
      <c r="E6">
        <f t="shared" si="2"/>
        <v>19.194897993887416</v>
      </c>
      <c r="F6">
        <f t="shared" si="0"/>
        <v>6.6488733409307763E-2</v>
      </c>
      <c r="G6">
        <f t="shared" si="3"/>
        <v>10.805102006112584</v>
      </c>
    </row>
    <row r="7" spans="1:12" x14ac:dyDescent="0.4">
      <c r="A7">
        <v>5</v>
      </c>
      <c r="C7" s="1">
        <f t="shared" si="1"/>
        <v>0.16664999999999999</v>
      </c>
      <c r="D7">
        <v>0.67105473015371497</v>
      </c>
      <c r="E7">
        <f t="shared" si="2"/>
        <v>19.011288251359446</v>
      </c>
      <c r="F7">
        <f t="shared" si="0"/>
        <v>8.3110916761634707E-2</v>
      </c>
      <c r="G7">
        <f t="shared" si="3"/>
        <v>10.988711748640554</v>
      </c>
    </row>
    <row r="8" spans="1:12" x14ac:dyDescent="0.4">
      <c r="A8">
        <v>6</v>
      </c>
      <c r="C8" s="1">
        <f t="shared" si="1"/>
        <v>0.19997999999999999</v>
      </c>
      <c r="D8">
        <v>0.68079875886095687</v>
      </c>
      <c r="E8">
        <f t="shared" si="2"/>
        <v>19.124423176420862</v>
      </c>
      <c r="F8">
        <f t="shared" si="0"/>
        <v>9.9733100113961651E-2</v>
      </c>
      <c r="G8">
        <f t="shared" si="3"/>
        <v>10.875576823579138</v>
      </c>
    </row>
    <row r="9" spans="1:12" x14ac:dyDescent="0.4">
      <c r="A9">
        <v>7</v>
      </c>
      <c r="C9" s="1">
        <f t="shared" si="1"/>
        <v>0.23330999999999999</v>
      </c>
      <c r="D9">
        <v>0.69347800680605476</v>
      </c>
      <c r="E9">
        <f t="shared" si="2"/>
        <v>19.270809143816813</v>
      </c>
      <c r="F9">
        <f t="shared" si="0"/>
        <v>0.11635528346628859</v>
      </c>
      <c r="G9">
        <f t="shared" si="3"/>
        <v>10.729190856183187</v>
      </c>
    </row>
    <row r="10" spans="1:12" x14ac:dyDescent="0.4">
      <c r="A10">
        <v>8</v>
      </c>
      <c r="C10" s="1">
        <f t="shared" si="1"/>
        <v>0.26663999999999999</v>
      </c>
      <c r="D10">
        <v>0.70494747222750465</v>
      </c>
      <c r="E10">
        <f t="shared" si="2"/>
        <v>19.402383796506584</v>
      </c>
      <c r="F10">
        <f t="shared" si="0"/>
        <v>0.13297746681861553</v>
      </c>
      <c r="G10">
        <f t="shared" si="3"/>
        <v>10.597616203493416</v>
      </c>
    </row>
    <row r="11" spans="1:12" x14ac:dyDescent="0.4">
      <c r="A11">
        <v>9</v>
      </c>
      <c r="C11" s="1">
        <f t="shared" si="1"/>
        <v>0.29996999999999996</v>
      </c>
      <c r="D11">
        <v>0.69419389864591519</v>
      </c>
      <c r="E11">
        <f t="shared" si="2"/>
        <v>19.279045521838398</v>
      </c>
      <c r="F11">
        <f t="shared" si="0"/>
        <v>0.14959965017094246</v>
      </c>
      <c r="G11">
        <f t="shared" si="3"/>
        <v>10.720954478161602</v>
      </c>
    </row>
    <row r="12" spans="1:12" x14ac:dyDescent="0.4">
      <c r="A12">
        <v>10</v>
      </c>
      <c r="C12" s="1">
        <f t="shared" si="1"/>
        <v>0.33329999999999999</v>
      </c>
      <c r="D12">
        <v>0.67275235956872825</v>
      </c>
      <c r="E12">
        <f t="shared" si="2"/>
        <v>19.031037621717324</v>
      </c>
      <c r="F12">
        <f t="shared" si="0"/>
        <v>0.16622183352326941</v>
      </c>
      <c r="G12">
        <f t="shared" si="3"/>
        <v>10.968962378282676</v>
      </c>
    </row>
    <row r="13" spans="1:12" x14ac:dyDescent="0.4">
      <c r="A13">
        <v>11</v>
      </c>
      <c r="C13" s="1">
        <f t="shared" si="1"/>
        <v>0.36663000000000001</v>
      </c>
      <c r="D13">
        <v>0.66436299267467491</v>
      </c>
      <c r="E13">
        <f t="shared" si="2"/>
        <v>18.933284441168201</v>
      </c>
      <c r="F13">
        <f t="shared" si="0"/>
        <v>0.18284401687559637</v>
      </c>
      <c r="G13">
        <f t="shared" si="3"/>
        <v>11.066715558831799</v>
      </c>
    </row>
    <row r="14" spans="1:12" x14ac:dyDescent="0.4">
      <c r="A14">
        <v>12</v>
      </c>
      <c r="C14" s="1">
        <f t="shared" si="1"/>
        <v>0.39995999999999998</v>
      </c>
      <c r="D14">
        <v>0.67035161801963405</v>
      </c>
      <c r="E14">
        <f t="shared" si="2"/>
        <v>19.003103881910349</v>
      </c>
      <c r="F14">
        <f t="shared" si="0"/>
        <v>0.1994662002279233</v>
      </c>
      <c r="G14">
        <f t="shared" si="3"/>
        <v>10.996896118089651</v>
      </c>
    </row>
    <row r="15" spans="1:12" x14ac:dyDescent="0.4">
      <c r="A15">
        <v>13</v>
      </c>
      <c r="C15" s="1">
        <f t="shared" si="1"/>
        <v>0.43328999999999995</v>
      </c>
      <c r="D15">
        <v>0.63374077666400075</v>
      </c>
      <c r="E15">
        <f t="shared" si="2"/>
        <v>18.573341567900343</v>
      </c>
      <c r="F15">
        <f t="shared" si="0"/>
        <v>0.21608838358025023</v>
      </c>
      <c r="G15">
        <f t="shared" si="3"/>
        <v>11.426658432099657</v>
      </c>
    </row>
    <row r="16" spans="1:12" x14ac:dyDescent="0.4">
      <c r="A16">
        <v>14</v>
      </c>
      <c r="C16" s="1">
        <f t="shared" si="1"/>
        <v>0.46661999999999998</v>
      </c>
      <c r="D16">
        <v>0.61476516031514417</v>
      </c>
      <c r="E16">
        <f t="shared" si="2"/>
        <v>18.34804779682506</v>
      </c>
      <c r="F16">
        <f t="shared" si="0"/>
        <v>0.23271056693257719</v>
      </c>
      <c r="G16">
        <f t="shared" si="3"/>
        <v>11.65195220317494</v>
      </c>
    </row>
    <row r="17" spans="1:7" x14ac:dyDescent="0.4">
      <c r="A17">
        <v>15</v>
      </c>
      <c r="C17" s="1">
        <f t="shared" si="1"/>
        <v>0.49995000000000001</v>
      </c>
      <c r="D17">
        <v>0.63922885020909248</v>
      </c>
      <c r="E17">
        <f t="shared" si="2"/>
        <v>18.63819321959005</v>
      </c>
      <c r="F17">
        <f t="shared" si="0"/>
        <v>0.24933275028490415</v>
      </c>
      <c r="G17">
        <f t="shared" si="3"/>
        <v>11.36180678040995</v>
      </c>
    </row>
    <row r="18" spans="1:7" x14ac:dyDescent="0.4">
      <c r="A18">
        <v>16</v>
      </c>
      <c r="C18" s="1">
        <f t="shared" si="1"/>
        <v>0.53327999999999998</v>
      </c>
      <c r="D18">
        <v>0.6016634182414563</v>
      </c>
      <c r="E18">
        <f t="shared" si="2"/>
        <v>18.191596107339901</v>
      </c>
      <c r="F18">
        <f t="shared" si="0"/>
        <v>0.26595493363723105</v>
      </c>
      <c r="G18">
        <f t="shared" si="3"/>
        <v>11.808403892660099</v>
      </c>
    </row>
    <row r="19" spans="1:7" x14ac:dyDescent="0.4">
      <c r="A19">
        <v>17</v>
      </c>
      <c r="C19" s="1">
        <f t="shared" si="1"/>
        <v>0.56660999999999995</v>
      </c>
      <c r="D19">
        <v>0.5906086850745329</v>
      </c>
      <c r="E19">
        <f t="shared" si="2"/>
        <v>18.059065413184307</v>
      </c>
      <c r="F19">
        <f t="shared" si="0"/>
        <v>0.28257711698955801</v>
      </c>
      <c r="G19">
        <f t="shared" si="3"/>
        <v>11.940934586815693</v>
      </c>
    </row>
    <row r="20" spans="1:7" x14ac:dyDescent="0.4">
      <c r="A20">
        <v>18</v>
      </c>
      <c r="C20" s="1">
        <f t="shared" si="1"/>
        <v>0.59993999999999992</v>
      </c>
      <c r="D20">
        <v>0.60704117098446264</v>
      </c>
      <c r="E20">
        <f t="shared" si="2"/>
        <v>18.255897555320409</v>
      </c>
      <c r="F20">
        <f t="shared" si="0"/>
        <v>0.29919930034188491</v>
      </c>
      <c r="G20">
        <f t="shared" si="3"/>
        <v>11.744102444679591</v>
      </c>
    </row>
    <row r="21" spans="1:7" x14ac:dyDescent="0.4">
      <c r="A21">
        <v>19</v>
      </c>
      <c r="C21" s="1">
        <f t="shared" si="1"/>
        <v>0.63327</v>
      </c>
      <c r="D21">
        <v>0.57933765839408069</v>
      </c>
      <c r="E21">
        <f t="shared" si="2"/>
        <v>17.923485713746594</v>
      </c>
      <c r="F21">
        <f t="shared" si="0"/>
        <v>0.31582148369421192</v>
      </c>
      <c r="G21">
        <f t="shared" si="3"/>
        <v>12.076514286253406</v>
      </c>
    </row>
    <row r="22" spans="1:7" x14ac:dyDescent="0.4">
      <c r="A22">
        <v>20</v>
      </c>
      <c r="C22" s="1">
        <f t="shared" si="1"/>
        <v>0.66659999999999997</v>
      </c>
      <c r="D22">
        <v>0.57392705467027116</v>
      </c>
      <c r="E22">
        <f t="shared" si="2"/>
        <v>17.858248156625933</v>
      </c>
      <c r="F22">
        <f t="shared" si="0"/>
        <v>0.33244366704653883</v>
      </c>
      <c r="G22">
        <f t="shared" si="3"/>
        <v>12.141751843374067</v>
      </c>
    </row>
    <row r="23" spans="1:7" x14ac:dyDescent="0.4">
      <c r="A23">
        <v>21</v>
      </c>
      <c r="C23" s="1">
        <f t="shared" si="1"/>
        <v>0.69992999999999994</v>
      </c>
      <c r="D23">
        <v>0.49425142843191244</v>
      </c>
      <c r="E23">
        <f t="shared" si="2"/>
        <v>16.888807451882816</v>
      </c>
      <c r="F23">
        <f t="shared" si="0"/>
        <v>0.34906585039886578</v>
      </c>
      <c r="G23">
        <f t="shared" si="3"/>
        <v>13.111192548117184</v>
      </c>
    </row>
    <row r="24" spans="1:7" x14ac:dyDescent="0.4">
      <c r="A24">
        <v>22</v>
      </c>
      <c r="C24" s="1">
        <f t="shared" si="1"/>
        <v>0.73326000000000002</v>
      </c>
      <c r="D24">
        <v>0.37720214286940795</v>
      </c>
      <c r="E24">
        <f t="shared" si="2"/>
        <v>15.454614276710773</v>
      </c>
      <c r="F24">
        <f t="shared" si="0"/>
        <v>0.36568803375119274</v>
      </c>
      <c r="G24">
        <f t="shared" si="3"/>
        <v>14.545385723289227</v>
      </c>
    </row>
    <row r="25" spans="1:7" x14ac:dyDescent="0.4">
      <c r="A25">
        <v>23</v>
      </c>
      <c r="C25" s="1">
        <f t="shared" si="1"/>
        <v>0.76658999999999999</v>
      </c>
      <c r="D25">
        <v>0.34866857323452599</v>
      </c>
      <c r="E25">
        <f t="shared" si="2"/>
        <v>15.107158867873949</v>
      </c>
      <c r="F25">
        <f t="shared" si="0"/>
        <v>0.3823102171035197</v>
      </c>
      <c r="G25">
        <f t="shared" si="3"/>
        <v>14.892841132126051</v>
      </c>
    </row>
    <row r="26" spans="1:7" x14ac:dyDescent="0.4">
      <c r="A26">
        <v>24</v>
      </c>
      <c r="C26" s="1">
        <f t="shared" si="1"/>
        <v>0.79991999999999996</v>
      </c>
      <c r="D26">
        <v>0.36961098639117729</v>
      </c>
      <c r="E26">
        <f t="shared" si="2"/>
        <v>15.362010240631617</v>
      </c>
      <c r="F26">
        <f t="shared" si="0"/>
        <v>0.3989324004558466</v>
      </c>
      <c r="G26">
        <f t="shared" si="3"/>
        <v>14.637989759368383</v>
      </c>
    </row>
    <row r="27" spans="1:7" x14ac:dyDescent="0.4">
      <c r="A27">
        <v>25</v>
      </c>
      <c r="C27" s="1">
        <f t="shared" si="1"/>
        <v>0.83324999999999994</v>
      </c>
      <c r="D27">
        <v>0.28819859523000652</v>
      </c>
      <c r="E27">
        <f t="shared" si="2"/>
        <v>14.378217708981353</v>
      </c>
      <c r="F27">
        <f t="shared" si="0"/>
        <v>0.41555458380817356</v>
      </c>
      <c r="G27">
        <f t="shared" si="3"/>
        <v>15.621782291018647</v>
      </c>
    </row>
    <row r="28" spans="1:7" x14ac:dyDescent="0.4">
      <c r="A28">
        <v>26</v>
      </c>
      <c r="C28" s="1">
        <f t="shared" si="1"/>
        <v>0.86657999999999991</v>
      </c>
      <c r="D28">
        <v>0.27826411751506974</v>
      </c>
      <c r="E28">
        <f t="shared" si="2"/>
        <v>14.259701172261245</v>
      </c>
      <c r="F28">
        <f t="shared" si="0"/>
        <v>0.43217676716050046</v>
      </c>
      <c r="G28">
        <f t="shared" si="3"/>
        <v>15.740298827738755</v>
      </c>
    </row>
    <row r="29" spans="1:7" x14ac:dyDescent="0.4">
      <c r="A29">
        <v>27</v>
      </c>
      <c r="C29" s="1">
        <f t="shared" si="1"/>
        <v>0.89990999999999999</v>
      </c>
      <c r="D29">
        <v>0.24405094705845995</v>
      </c>
      <c r="E29">
        <f t="shared" si="2"/>
        <v>13.854832722014377</v>
      </c>
      <c r="F29">
        <f t="shared" si="0"/>
        <v>0.44879895051282748</v>
      </c>
      <c r="G29">
        <f t="shared" si="3"/>
        <v>16.145167277985621</v>
      </c>
    </row>
    <row r="30" spans="1:7" x14ac:dyDescent="0.4">
      <c r="A30">
        <v>28</v>
      </c>
      <c r="C30" s="1">
        <f t="shared" si="1"/>
        <v>0.93323999999999996</v>
      </c>
      <c r="D30">
        <v>0.24334684864621692</v>
      </c>
      <c r="E30">
        <f t="shared" si="2"/>
        <v>13.846558290297573</v>
      </c>
      <c r="F30">
        <f t="shared" si="0"/>
        <v>0.46542113386515438</v>
      </c>
      <c r="G30">
        <f t="shared" si="3"/>
        <v>16.153441709702427</v>
      </c>
    </row>
    <row r="31" spans="1:7" x14ac:dyDescent="0.4">
      <c r="A31">
        <v>29</v>
      </c>
      <c r="C31" s="1">
        <f t="shared" si="1"/>
        <v>0.96656999999999993</v>
      </c>
      <c r="D31">
        <v>0.36967925591403089</v>
      </c>
      <c r="E31">
        <f t="shared" si="2"/>
        <v>15.362842564740379</v>
      </c>
      <c r="F31">
        <f t="shared" si="0"/>
        <v>0.48204331721748134</v>
      </c>
      <c r="G31">
        <f t="shared" si="3"/>
        <v>14.637157435259621</v>
      </c>
    </row>
    <row r="32" spans="1:7" x14ac:dyDescent="0.4">
      <c r="A32">
        <v>30</v>
      </c>
      <c r="C32" s="1">
        <f t="shared" si="1"/>
        <v>0.99990000000000001</v>
      </c>
      <c r="D32">
        <v>0.35824210569820863</v>
      </c>
      <c r="E32">
        <f t="shared" si="2"/>
        <v>15.223538477706025</v>
      </c>
      <c r="F32">
        <f t="shared" si="0"/>
        <v>0.4986655005698083</v>
      </c>
      <c r="G32">
        <f t="shared" si="3"/>
        <v>14.776461522293975</v>
      </c>
    </row>
    <row r="33" spans="1:7" x14ac:dyDescent="0.4">
      <c r="A33">
        <v>31</v>
      </c>
      <c r="C33" s="1">
        <f t="shared" si="1"/>
        <v>1.0332299999999999</v>
      </c>
      <c r="D33">
        <v>0.65193714901967093</v>
      </c>
      <c r="E33">
        <f t="shared" si="2"/>
        <v>18.787801293623531</v>
      </c>
      <c r="F33">
        <f t="shared" si="0"/>
        <v>0.5152876839221352</v>
      </c>
      <c r="G33">
        <f t="shared" si="3"/>
        <v>11.212198706376469</v>
      </c>
    </row>
    <row r="34" spans="1:7" x14ac:dyDescent="0.4">
      <c r="A34">
        <v>32</v>
      </c>
      <c r="C34" s="1">
        <f t="shared" si="1"/>
        <v>1.06656</v>
      </c>
      <c r="D34">
        <v>0.63138172739644138</v>
      </c>
      <c r="E34">
        <f t="shared" si="2"/>
        <v>18.545421476109659</v>
      </c>
      <c r="F34">
        <f t="shared" si="0"/>
        <v>0.5319098672744621</v>
      </c>
      <c r="G34">
        <f t="shared" si="3"/>
        <v>11.454578523890341</v>
      </c>
    </row>
    <row r="35" spans="1:7" x14ac:dyDescent="0.4">
      <c r="A35">
        <v>33</v>
      </c>
      <c r="C35" s="1">
        <f t="shared" si="1"/>
        <v>1.09989</v>
      </c>
      <c r="D35">
        <v>0.67248465011310898</v>
      </c>
      <c r="E35">
        <f t="shared" si="2"/>
        <v>19.027924296484038</v>
      </c>
      <c r="F35">
        <f t="shared" si="0"/>
        <v>0.54853205062678911</v>
      </c>
      <c r="G35">
        <f t="shared" si="3"/>
        <v>10.972075703515962</v>
      </c>
    </row>
    <row r="36" spans="1:7" x14ac:dyDescent="0.4">
      <c r="A36">
        <v>34</v>
      </c>
      <c r="C36" s="1">
        <f t="shared" si="1"/>
        <v>1.1332199999999999</v>
      </c>
      <c r="D36">
        <v>0.82384075341863883</v>
      </c>
      <c r="E36">
        <f t="shared" si="2"/>
        <v>20.710731755433756</v>
      </c>
      <c r="F36">
        <f t="shared" si="0"/>
        <v>0.56515423397911602</v>
      </c>
      <c r="G36">
        <f t="shared" si="3"/>
        <v>9.2892682445662444</v>
      </c>
    </row>
    <row r="37" spans="1:7" x14ac:dyDescent="0.4">
      <c r="A37">
        <v>35</v>
      </c>
      <c r="C37" s="1">
        <f t="shared" si="1"/>
        <v>1.16655</v>
      </c>
      <c r="D37">
        <v>0.66493167809174991</v>
      </c>
      <c r="E37">
        <f t="shared" si="2"/>
        <v>18.939922993133745</v>
      </c>
      <c r="F37">
        <f t="shared" si="0"/>
        <v>0.58177641733144303</v>
      </c>
      <c r="G37">
        <f t="shared" si="3"/>
        <v>11.060077006866255</v>
      </c>
    </row>
    <row r="38" spans="1:7" x14ac:dyDescent="0.4">
      <c r="A38">
        <v>36</v>
      </c>
      <c r="C38" s="1">
        <f t="shared" si="1"/>
        <v>1.1998799999999998</v>
      </c>
      <c r="D38">
        <v>0.35073323418064956</v>
      </c>
      <c r="E38">
        <f t="shared" si="2"/>
        <v>15.132239092241647</v>
      </c>
      <c r="F38">
        <f t="shared" si="0"/>
        <v>0.59839860068376982</v>
      </c>
      <c r="G38">
        <f t="shared" si="3"/>
        <v>14.867760907758353</v>
      </c>
    </row>
    <row r="39" spans="1:7" x14ac:dyDescent="0.4">
      <c r="A39">
        <v>37</v>
      </c>
      <c r="C39" s="1">
        <f t="shared" si="1"/>
        <v>1.2332099999999999</v>
      </c>
      <c r="D39">
        <v>0.24315376345312728</v>
      </c>
      <c r="E39">
        <f t="shared" si="2"/>
        <v>13.844289618238205</v>
      </c>
      <c r="F39">
        <f t="shared" si="0"/>
        <v>0.61502078403609683</v>
      </c>
      <c r="G39">
        <f t="shared" si="3"/>
        <v>16.155710381761793</v>
      </c>
    </row>
    <row r="40" spans="1:7" x14ac:dyDescent="0.4">
      <c r="A40">
        <v>38</v>
      </c>
      <c r="C40" s="1">
        <f t="shared" si="1"/>
        <v>1.26654</v>
      </c>
      <c r="D40">
        <v>0.207226869009456</v>
      </c>
      <c r="E40">
        <f t="shared" si="2"/>
        <v>13.425546104582073</v>
      </c>
      <c r="F40">
        <f t="shared" si="0"/>
        <v>0.63164296738842385</v>
      </c>
      <c r="G40">
        <f t="shared" si="3"/>
        <v>16.574453895417925</v>
      </c>
    </row>
    <row r="41" spans="1:7" x14ac:dyDescent="0.4">
      <c r="A41">
        <v>39</v>
      </c>
      <c r="C41" s="1">
        <f t="shared" si="1"/>
        <v>1.2998699999999999</v>
      </c>
      <c r="D41">
        <v>0.20570017749574462</v>
      </c>
      <c r="E41">
        <f t="shared" si="2"/>
        <v>13.407908507634119</v>
      </c>
      <c r="F41">
        <f t="shared" si="0"/>
        <v>0.64826515074075075</v>
      </c>
      <c r="G41">
        <f t="shared" si="3"/>
        <v>16.592091492365881</v>
      </c>
    </row>
    <row r="42" spans="1:7" x14ac:dyDescent="0.4">
      <c r="A42">
        <v>40</v>
      </c>
      <c r="C42" s="1">
        <f t="shared" si="1"/>
        <v>1.3331999999999999</v>
      </c>
      <c r="D42">
        <v>0.13634922225523394</v>
      </c>
      <c r="E42">
        <f t="shared" si="2"/>
        <v>12.621936150465391</v>
      </c>
      <c r="F42">
        <f t="shared" si="0"/>
        <v>0.66488733409307765</v>
      </c>
      <c r="G42">
        <f t="shared" si="3"/>
        <v>17.378063849534609</v>
      </c>
    </row>
    <row r="43" spans="1:7" x14ac:dyDescent="0.4">
      <c r="A43">
        <v>41</v>
      </c>
      <c r="C43" s="1">
        <f t="shared" si="1"/>
        <v>1.36653</v>
      </c>
      <c r="D43">
        <v>0.14968015916265265</v>
      </c>
      <c r="E43">
        <f t="shared" si="2"/>
        <v>12.770568619533108</v>
      </c>
      <c r="F43">
        <f t="shared" si="0"/>
        <v>0.68150951744540467</v>
      </c>
      <c r="G43">
        <f t="shared" si="3"/>
        <v>17.229431380466892</v>
      </c>
    </row>
    <row r="44" spans="1:7" x14ac:dyDescent="0.4">
      <c r="A44">
        <v>42</v>
      </c>
      <c r="C44" s="1">
        <f t="shared" si="1"/>
        <v>1.3998599999999999</v>
      </c>
      <c r="D44">
        <v>6.3709571373037233E-2</v>
      </c>
      <c r="E44">
        <f t="shared" si="2"/>
        <v>11.835117480420429</v>
      </c>
      <c r="F44">
        <f t="shared" si="0"/>
        <v>0.69813170079773157</v>
      </c>
      <c r="G44">
        <f t="shared" si="3"/>
        <v>18.164882519579571</v>
      </c>
    </row>
    <row r="45" spans="1:7" x14ac:dyDescent="0.4">
      <c r="A45">
        <v>43</v>
      </c>
      <c r="C45" s="1">
        <f t="shared" si="1"/>
        <v>1.43319</v>
      </c>
      <c r="D45">
        <v>8.1925799526147587E-4</v>
      </c>
      <c r="E45">
        <f t="shared" si="2"/>
        <v>11.18853546815863</v>
      </c>
      <c r="F45">
        <f t="shared" si="0"/>
        <v>0.71475388415005858</v>
      </c>
      <c r="G45">
        <f t="shared" si="3"/>
        <v>18.81146453184137</v>
      </c>
    </row>
    <row r="46" spans="1:7" x14ac:dyDescent="0.4">
      <c r="A46">
        <v>44</v>
      </c>
      <c r="C46" s="1">
        <f t="shared" si="1"/>
        <v>1.46652</v>
      </c>
      <c r="D46">
        <v>-6.3835928768340138E-3</v>
      </c>
      <c r="E46">
        <f t="shared" si="2"/>
        <v>11.116686629018227</v>
      </c>
      <c r="F46">
        <f t="shared" si="0"/>
        <v>0.73137606750238549</v>
      </c>
      <c r="G46">
        <f t="shared" si="3"/>
        <v>18.883313370981774</v>
      </c>
    </row>
    <row r="47" spans="1:7" x14ac:dyDescent="0.4">
      <c r="A47">
        <v>45</v>
      </c>
      <c r="C47" s="1">
        <f t="shared" si="1"/>
        <v>1.4998499999999999</v>
      </c>
      <c r="D47">
        <v>0.15210605691976475</v>
      </c>
      <c r="E47">
        <f t="shared" si="2"/>
        <v>12.797747770756438</v>
      </c>
      <c r="F47">
        <f t="shared" si="0"/>
        <v>0.74799825085471239</v>
      </c>
      <c r="G47">
        <f t="shared" si="3"/>
        <v>17.202252229243562</v>
      </c>
    </row>
    <row r="48" spans="1:7" x14ac:dyDescent="0.4">
      <c r="A48">
        <v>46</v>
      </c>
      <c r="C48" s="1">
        <f t="shared" si="1"/>
        <v>1.53318</v>
      </c>
      <c r="D48">
        <v>0.17827399901411109</v>
      </c>
      <c r="E48">
        <f t="shared" si="2"/>
        <v>13.093410650750435</v>
      </c>
      <c r="F48">
        <f t="shared" si="0"/>
        <v>0.7646204342070394</v>
      </c>
      <c r="G48">
        <f t="shared" si="3"/>
        <v>16.906589349249565</v>
      </c>
    </row>
    <row r="49" spans="1:7" x14ac:dyDescent="0.4">
      <c r="A49">
        <v>47</v>
      </c>
      <c r="C49" s="1">
        <f t="shared" si="1"/>
        <v>1.5665099999999998</v>
      </c>
      <c r="D49">
        <v>0.30494911851475076</v>
      </c>
      <c r="E49">
        <f t="shared" si="2"/>
        <v>14.578917575279462</v>
      </c>
      <c r="F49">
        <f t="shared" si="0"/>
        <v>0.7812426175593663</v>
      </c>
      <c r="G49">
        <f t="shared" si="3"/>
        <v>15.421082424720538</v>
      </c>
    </row>
    <row r="50" spans="1:7" x14ac:dyDescent="0.4">
      <c r="A50">
        <v>48</v>
      </c>
      <c r="C50" s="1">
        <f t="shared" si="1"/>
        <v>1.5998399999999999</v>
      </c>
      <c r="D50">
        <v>0.38925972075348159</v>
      </c>
      <c r="E50">
        <f t="shared" si="2"/>
        <v>15.601911305994351</v>
      </c>
      <c r="F50">
        <f t="shared" si="0"/>
        <v>0.79786480091169321</v>
      </c>
      <c r="G50">
        <f t="shared" si="3"/>
        <v>14.398088694005649</v>
      </c>
    </row>
    <row r="51" spans="1:7" x14ac:dyDescent="0.4">
      <c r="A51">
        <v>49</v>
      </c>
      <c r="C51" s="1">
        <f t="shared" si="1"/>
        <v>1.63317</v>
      </c>
      <c r="D51">
        <v>0.38014781121856561</v>
      </c>
      <c r="E51">
        <f t="shared" si="2"/>
        <v>15.490576648324378</v>
      </c>
      <c r="F51">
        <f t="shared" si="0"/>
        <v>0.81448698426402022</v>
      </c>
      <c r="G51">
        <f t="shared" si="3"/>
        <v>14.509423351675622</v>
      </c>
    </row>
    <row r="52" spans="1:7" x14ac:dyDescent="0.4">
      <c r="A52">
        <v>50</v>
      </c>
      <c r="C52" s="1">
        <f t="shared" si="1"/>
        <v>1.6664999999999999</v>
      </c>
      <c r="D52">
        <v>0.36379993930916421</v>
      </c>
      <c r="E52">
        <f t="shared" si="2"/>
        <v>15.291198072706841</v>
      </c>
      <c r="F52">
        <f t="shared" si="0"/>
        <v>0.83110916761634712</v>
      </c>
      <c r="G52">
        <f t="shared" si="3"/>
        <v>14.708801927293159</v>
      </c>
    </row>
    <row r="53" spans="1:7" x14ac:dyDescent="0.4">
      <c r="A53">
        <v>51</v>
      </c>
      <c r="C53" s="1">
        <f t="shared" si="1"/>
        <v>1.69983</v>
      </c>
      <c r="D53">
        <v>0.33475414810206217</v>
      </c>
      <c r="E53">
        <f t="shared" si="2"/>
        <v>14.938423184887798</v>
      </c>
      <c r="F53">
        <f t="shared" si="0"/>
        <v>0.84773135096867402</v>
      </c>
      <c r="G53">
        <f t="shared" si="3"/>
        <v>15.061576815112202</v>
      </c>
    </row>
    <row r="54" spans="1:7" x14ac:dyDescent="0.4">
      <c r="A54">
        <v>52</v>
      </c>
      <c r="C54" s="1">
        <f t="shared" si="1"/>
        <v>1.7331599999999998</v>
      </c>
      <c r="D54">
        <v>0.34909743570224105</v>
      </c>
      <c r="E54">
        <f t="shared" si="2"/>
        <v>15.112367555831613</v>
      </c>
      <c r="F54">
        <f t="shared" si="0"/>
        <v>0.86435353432100093</v>
      </c>
      <c r="G54">
        <f t="shared" si="3"/>
        <v>14.887632444168387</v>
      </c>
    </row>
    <row r="55" spans="1:7" x14ac:dyDescent="0.4">
      <c r="A55">
        <v>53</v>
      </c>
      <c r="C55" s="1">
        <f t="shared" si="1"/>
        <v>1.7664899999999999</v>
      </c>
      <c r="D55">
        <v>0.26836621090590418</v>
      </c>
      <c r="E55">
        <f t="shared" si="2"/>
        <v>14.142030271123081</v>
      </c>
      <c r="F55">
        <f t="shared" si="0"/>
        <v>0.88097571767332794</v>
      </c>
      <c r="G55">
        <f t="shared" si="3"/>
        <v>15.857969728876919</v>
      </c>
    </row>
    <row r="56" spans="1:7" x14ac:dyDescent="0.4">
      <c r="A56">
        <v>54</v>
      </c>
      <c r="C56" s="1">
        <f t="shared" si="1"/>
        <v>1.79982</v>
      </c>
      <c r="D56">
        <v>0.27632727497506027</v>
      </c>
      <c r="E56">
        <f t="shared" si="2"/>
        <v>14.236642237022773</v>
      </c>
      <c r="F56">
        <f t="shared" si="0"/>
        <v>0.89759790102565495</v>
      </c>
      <c r="G56">
        <f t="shared" si="3"/>
        <v>15.763357762977227</v>
      </c>
    </row>
    <row r="57" spans="1:7" x14ac:dyDescent="0.4">
      <c r="A57">
        <v>55</v>
      </c>
      <c r="C57" s="1">
        <f t="shared" si="1"/>
        <v>1.8331499999999998</v>
      </c>
      <c r="D57">
        <v>0.27562943838212994</v>
      </c>
      <c r="E57">
        <f t="shared" si="2"/>
        <v>14.228338061808785</v>
      </c>
      <c r="F57">
        <f t="shared" si="0"/>
        <v>0.91422008437798175</v>
      </c>
      <c r="G57">
        <f t="shared" si="3"/>
        <v>15.771661938191215</v>
      </c>
    </row>
    <row r="58" spans="1:7" x14ac:dyDescent="0.4">
      <c r="A58">
        <v>56</v>
      </c>
      <c r="C58" s="1">
        <f t="shared" si="1"/>
        <v>1.8664799999999999</v>
      </c>
      <c r="D58">
        <v>0.25682644996980397</v>
      </c>
      <c r="E58">
        <f t="shared" si="2"/>
        <v>14.005385579075186</v>
      </c>
      <c r="F58">
        <f t="shared" si="0"/>
        <v>0.93084226773030876</v>
      </c>
      <c r="G58">
        <f t="shared" si="3"/>
        <v>15.994614420924814</v>
      </c>
    </row>
    <row r="59" spans="1:7" x14ac:dyDescent="0.4">
      <c r="A59">
        <v>57</v>
      </c>
      <c r="C59" s="1">
        <f t="shared" si="1"/>
        <v>1.89981</v>
      </c>
      <c r="D59">
        <v>0.26028959851387307</v>
      </c>
      <c r="E59">
        <f t="shared" si="2"/>
        <v>14.04632988765214</v>
      </c>
      <c r="F59">
        <f t="shared" si="0"/>
        <v>0.94746445108263577</v>
      </c>
      <c r="G59">
        <f t="shared" si="3"/>
        <v>15.95367011234786</v>
      </c>
    </row>
    <row r="60" spans="1:7" x14ac:dyDescent="0.4">
      <c r="A60">
        <v>58</v>
      </c>
      <c r="C60" s="1">
        <f t="shared" si="1"/>
        <v>1.9331399999999999</v>
      </c>
      <c r="D60">
        <v>0.25209598066807587</v>
      </c>
      <c r="E60">
        <f t="shared" si="2"/>
        <v>13.949548330132819</v>
      </c>
      <c r="F60">
        <f t="shared" si="0"/>
        <v>0.96408663443496267</v>
      </c>
      <c r="G60">
        <f t="shared" si="3"/>
        <v>16.050451669867179</v>
      </c>
    </row>
    <row r="61" spans="1:7" x14ac:dyDescent="0.4">
      <c r="A61">
        <v>59</v>
      </c>
      <c r="C61" s="1">
        <f t="shared" si="1"/>
        <v>1.9664699999999999</v>
      </c>
      <c r="D61">
        <v>0.25436805855326439</v>
      </c>
      <c r="E61">
        <f t="shared" si="2"/>
        <v>13.976354204174813</v>
      </c>
      <c r="F61">
        <f t="shared" si="0"/>
        <v>0.98070881778728958</v>
      </c>
      <c r="G61">
        <f t="shared" si="3"/>
        <v>16.023645795825189</v>
      </c>
    </row>
    <row r="62" spans="1:7" x14ac:dyDescent="0.4">
      <c r="A62">
        <v>60</v>
      </c>
      <c r="C62" s="1">
        <f t="shared" si="1"/>
        <v>1.9998</v>
      </c>
      <c r="D62">
        <v>0.23797761065287229</v>
      </c>
      <c r="E62">
        <f t="shared" si="2"/>
        <v>13.783541330411518</v>
      </c>
      <c r="F62">
        <f t="shared" si="0"/>
        <v>0.99733100113961659</v>
      </c>
      <c r="G62">
        <f t="shared" si="3"/>
        <v>16.216458669588484</v>
      </c>
    </row>
    <row r="63" spans="1:7" x14ac:dyDescent="0.4">
      <c r="A63">
        <v>61</v>
      </c>
      <c r="C63" s="1">
        <f t="shared" si="1"/>
        <v>2.0331299999999999</v>
      </c>
      <c r="D63">
        <v>0.26281268180126149</v>
      </c>
      <c r="E63">
        <f t="shared" si="2"/>
        <v>14.076194568711372</v>
      </c>
      <c r="F63">
        <f t="shared" si="0"/>
        <v>1.0139531844919434</v>
      </c>
      <c r="G63">
        <f t="shared" si="3"/>
        <v>15.923805431288628</v>
      </c>
    </row>
    <row r="64" spans="1:7" x14ac:dyDescent="0.4">
      <c r="A64">
        <v>62</v>
      </c>
      <c r="C64" s="1">
        <f t="shared" si="1"/>
        <v>2.0664599999999997</v>
      </c>
      <c r="D64">
        <v>0.22347660114063334</v>
      </c>
      <c r="E64">
        <f t="shared" si="2"/>
        <v>13.614087651979156</v>
      </c>
      <c r="F64">
        <f t="shared" si="0"/>
        <v>1.0305753678442704</v>
      </c>
      <c r="G64">
        <f t="shared" si="3"/>
        <v>16.385912348020845</v>
      </c>
    </row>
    <row r="65" spans="1:7" x14ac:dyDescent="0.4">
      <c r="A65">
        <v>63</v>
      </c>
      <c r="C65" s="1">
        <f t="shared" si="1"/>
        <v>2.09979</v>
      </c>
      <c r="D65">
        <v>0.24848742065739976</v>
      </c>
      <c r="E65">
        <f t="shared" si="2"/>
        <v>13.907025318077865</v>
      </c>
      <c r="F65">
        <f t="shared" si="0"/>
        <v>1.0471975511965974</v>
      </c>
      <c r="G65">
        <f t="shared" si="3"/>
        <v>16.092974681922136</v>
      </c>
    </row>
    <row r="66" spans="1:7" x14ac:dyDescent="0.4">
      <c r="A66">
        <v>64</v>
      </c>
      <c r="B66" t="s">
        <v>27</v>
      </c>
      <c r="C66" s="1">
        <f t="shared" si="1"/>
        <v>2.1331199999999999</v>
      </c>
      <c r="D66">
        <v>0.24848742065739976</v>
      </c>
      <c r="E66">
        <f t="shared" si="2"/>
        <v>13.907025318077865</v>
      </c>
      <c r="F66">
        <f t="shared" si="0"/>
        <v>1.0638197345489242</v>
      </c>
      <c r="G66">
        <f t="shared" si="3"/>
        <v>16.092974681922136</v>
      </c>
    </row>
    <row r="67" spans="1:7" x14ac:dyDescent="0.4">
      <c r="A67">
        <v>65</v>
      </c>
      <c r="C67" s="1">
        <f t="shared" si="1"/>
        <v>2.1664499999999998</v>
      </c>
      <c r="D67">
        <v>0.24848742065739976</v>
      </c>
      <c r="E67">
        <f t="shared" si="2"/>
        <v>13.907025318077865</v>
      </c>
      <c r="F67">
        <f t="shared" ref="F67:F130" si="4">0.498715372107019*C67</f>
        <v>1.0804419179012512</v>
      </c>
      <c r="G67">
        <f t="shared" si="3"/>
        <v>16.092974681922136</v>
      </c>
    </row>
    <row r="68" spans="1:7" x14ac:dyDescent="0.4">
      <c r="A68">
        <v>66</v>
      </c>
      <c r="C68" s="1">
        <f t="shared" ref="C68:C131" si="5">A68*0.03333</f>
        <v>2.1997800000000001</v>
      </c>
      <c r="D68">
        <v>0.24848742065739976</v>
      </c>
      <c r="E68">
        <f t="shared" ref="E68:E131" si="6">15*SIN(PI()/2-D68+ASIN(2*COS(D68)/3))/COS(D68)</f>
        <v>13.907025318077865</v>
      </c>
      <c r="F68">
        <f t="shared" si="4"/>
        <v>1.0970641012535782</v>
      </c>
      <c r="G68">
        <f t="shared" ref="G68:G131" si="7">30-E68</f>
        <v>16.092974681922136</v>
      </c>
    </row>
    <row r="69" spans="1:7" x14ac:dyDescent="0.4">
      <c r="A69">
        <v>67</v>
      </c>
      <c r="C69" s="1">
        <f t="shared" si="5"/>
        <v>2.2331099999999999</v>
      </c>
      <c r="D69">
        <v>0.24848742065739976</v>
      </c>
      <c r="E69">
        <f t="shared" si="6"/>
        <v>13.907025318077865</v>
      </c>
      <c r="F69">
        <f t="shared" si="4"/>
        <v>1.1136862846059052</v>
      </c>
      <c r="G69">
        <f t="shared" si="7"/>
        <v>16.092974681922136</v>
      </c>
    </row>
    <row r="70" spans="1:7" x14ac:dyDescent="0.4">
      <c r="A70">
        <v>68</v>
      </c>
      <c r="C70" s="1">
        <f t="shared" si="5"/>
        <v>2.2664399999999998</v>
      </c>
      <c r="D70">
        <v>0.24848742065739976</v>
      </c>
      <c r="E70">
        <f t="shared" si="6"/>
        <v>13.907025318077865</v>
      </c>
      <c r="F70">
        <f t="shared" si="4"/>
        <v>1.130308467958232</v>
      </c>
      <c r="G70">
        <f t="shared" si="7"/>
        <v>16.092974681922136</v>
      </c>
    </row>
    <row r="71" spans="1:7" x14ac:dyDescent="0.4">
      <c r="A71">
        <v>69</v>
      </c>
      <c r="C71" s="1">
        <f t="shared" si="5"/>
        <v>2.2997700000000001</v>
      </c>
      <c r="D71">
        <v>0.24848742065739976</v>
      </c>
      <c r="E71">
        <f t="shared" si="6"/>
        <v>13.907025318077865</v>
      </c>
      <c r="F71">
        <f t="shared" si="4"/>
        <v>1.146930651310559</v>
      </c>
      <c r="G71">
        <f t="shared" si="7"/>
        <v>16.092974681922136</v>
      </c>
    </row>
    <row r="72" spans="1:7" x14ac:dyDescent="0.4">
      <c r="A72">
        <v>70</v>
      </c>
      <c r="C72" s="1">
        <f t="shared" si="5"/>
        <v>2.3331</v>
      </c>
      <c r="D72">
        <v>0.24848742065739976</v>
      </c>
      <c r="E72">
        <f t="shared" si="6"/>
        <v>13.907025318077865</v>
      </c>
      <c r="F72">
        <f t="shared" si="4"/>
        <v>1.1635528346628861</v>
      </c>
      <c r="G72">
        <f t="shared" si="7"/>
        <v>16.092974681922136</v>
      </c>
    </row>
    <row r="73" spans="1:7" x14ac:dyDescent="0.4">
      <c r="A73">
        <v>71</v>
      </c>
      <c r="C73" s="1">
        <f t="shared" si="5"/>
        <v>2.3664299999999998</v>
      </c>
      <c r="D73">
        <v>0.24848742065739976</v>
      </c>
      <c r="E73">
        <f t="shared" si="6"/>
        <v>13.907025318077865</v>
      </c>
      <c r="F73">
        <f t="shared" si="4"/>
        <v>1.1801750180152129</v>
      </c>
      <c r="G73">
        <f t="shared" si="7"/>
        <v>16.092974681922136</v>
      </c>
    </row>
    <row r="74" spans="1:7" x14ac:dyDescent="0.4">
      <c r="A74">
        <v>72</v>
      </c>
      <c r="C74" s="1">
        <f t="shared" si="5"/>
        <v>2.3997599999999997</v>
      </c>
      <c r="D74">
        <v>0.24848742065739976</v>
      </c>
      <c r="E74">
        <f t="shared" si="6"/>
        <v>13.907025318077865</v>
      </c>
      <c r="F74">
        <f t="shared" si="4"/>
        <v>1.1967972013675396</v>
      </c>
      <c r="G74">
        <f t="shared" si="7"/>
        <v>16.092974681922136</v>
      </c>
    </row>
    <row r="75" spans="1:7" x14ac:dyDescent="0.4">
      <c r="A75">
        <v>73</v>
      </c>
      <c r="C75" s="1">
        <f t="shared" si="5"/>
        <v>2.43309</v>
      </c>
      <c r="D75">
        <v>0.24848742065739976</v>
      </c>
      <c r="E75">
        <f t="shared" si="6"/>
        <v>13.907025318077865</v>
      </c>
      <c r="F75">
        <f t="shared" si="4"/>
        <v>1.2134193847198669</v>
      </c>
      <c r="G75">
        <f t="shared" si="7"/>
        <v>16.092974681922136</v>
      </c>
    </row>
    <row r="76" spans="1:7" x14ac:dyDescent="0.4">
      <c r="A76">
        <v>74</v>
      </c>
      <c r="C76" s="1">
        <f t="shared" si="5"/>
        <v>2.4664199999999998</v>
      </c>
      <c r="D76">
        <v>0.24848742065739976</v>
      </c>
      <c r="E76">
        <f t="shared" si="6"/>
        <v>13.907025318077865</v>
      </c>
      <c r="F76">
        <f t="shared" si="4"/>
        <v>1.2300415680721937</v>
      </c>
      <c r="G76">
        <f t="shared" si="7"/>
        <v>16.092974681922136</v>
      </c>
    </row>
    <row r="77" spans="1:7" x14ac:dyDescent="0.4">
      <c r="A77">
        <v>75</v>
      </c>
      <c r="C77" s="1">
        <f t="shared" si="5"/>
        <v>2.4997499999999997</v>
      </c>
      <c r="D77">
        <v>0.24848742065739976</v>
      </c>
      <c r="E77">
        <f t="shared" si="6"/>
        <v>13.907025318077865</v>
      </c>
      <c r="F77">
        <f t="shared" si="4"/>
        <v>1.2466637514245207</v>
      </c>
      <c r="G77">
        <f t="shared" si="7"/>
        <v>16.092974681922136</v>
      </c>
    </row>
    <row r="78" spans="1:7" x14ac:dyDescent="0.4">
      <c r="A78">
        <v>76</v>
      </c>
      <c r="C78" s="1">
        <f t="shared" si="5"/>
        <v>2.53308</v>
      </c>
      <c r="D78">
        <v>0.24848742065739976</v>
      </c>
      <c r="E78">
        <f t="shared" si="6"/>
        <v>13.907025318077865</v>
      </c>
      <c r="F78">
        <f t="shared" si="4"/>
        <v>1.2632859347768477</v>
      </c>
      <c r="G78">
        <f t="shared" si="7"/>
        <v>16.092974681922136</v>
      </c>
    </row>
    <row r="79" spans="1:7" x14ac:dyDescent="0.4">
      <c r="A79">
        <v>77</v>
      </c>
      <c r="C79" s="1">
        <f t="shared" si="5"/>
        <v>2.5664099999999999</v>
      </c>
      <c r="D79">
        <v>0.24848742065739976</v>
      </c>
      <c r="E79">
        <f t="shared" si="6"/>
        <v>13.907025318077865</v>
      </c>
      <c r="F79">
        <f t="shared" si="4"/>
        <v>1.2799081181291745</v>
      </c>
      <c r="G79">
        <f t="shared" si="7"/>
        <v>16.092974681922136</v>
      </c>
    </row>
    <row r="80" spans="1:7" x14ac:dyDescent="0.4">
      <c r="A80">
        <v>78</v>
      </c>
      <c r="C80" s="1">
        <f t="shared" si="5"/>
        <v>2.5997399999999997</v>
      </c>
      <c r="D80">
        <v>0.24848742065739976</v>
      </c>
      <c r="E80">
        <f t="shared" si="6"/>
        <v>13.907025318077865</v>
      </c>
      <c r="F80">
        <f t="shared" si="4"/>
        <v>1.2965303014815015</v>
      </c>
      <c r="G80">
        <f t="shared" si="7"/>
        <v>16.092974681922136</v>
      </c>
    </row>
    <row r="81" spans="1:7" x14ac:dyDescent="0.4">
      <c r="A81">
        <v>79</v>
      </c>
      <c r="C81" s="1">
        <f t="shared" si="5"/>
        <v>2.63307</v>
      </c>
      <c r="D81">
        <v>0.24848742065739976</v>
      </c>
      <c r="E81">
        <f t="shared" si="6"/>
        <v>13.907025318077865</v>
      </c>
      <c r="F81">
        <f t="shared" si="4"/>
        <v>1.3131524848338285</v>
      </c>
      <c r="G81">
        <f t="shared" si="7"/>
        <v>16.092974681922136</v>
      </c>
    </row>
    <row r="82" spans="1:7" x14ac:dyDescent="0.4">
      <c r="A82">
        <v>80</v>
      </c>
      <c r="C82" s="1">
        <f t="shared" si="5"/>
        <v>2.6663999999999999</v>
      </c>
      <c r="D82">
        <v>0.24848742065739976</v>
      </c>
      <c r="E82">
        <f t="shared" si="6"/>
        <v>13.907025318077865</v>
      </c>
      <c r="F82">
        <f t="shared" si="4"/>
        <v>1.3297746681861553</v>
      </c>
      <c r="G82">
        <f t="shared" si="7"/>
        <v>16.092974681922136</v>
      </c>
    </row>
    <row r="83" spans="1:7" x14ac:dyDescent="0.4">
      <c r="A83">
        <v>81</v>
      </c>
      <c r="C83" s="1">
        <f t="shared" si="5"/>
        <v>2.6997299999999997</v>
      </c>
      <c r="D83">
        <v>0.24848742065739976</v>
      </c>
      <c r="E83">
        <f t="shared" si="6"/>
        <v>13.907025318077865</v>
      </c>
      <c r="F83">
        <f t="shared" si="4"/>
        <v>1.3463968515384823</v>
      </c>
      <c r="G83">
        <f t="shared" si="7"/>
        <v>16.092974681922136</v>
      </c>
    </row>
    <row r="84" spans="1:7" x14ac:dyDescent="0.4">
      <c r="A84">
        <v>82</v>
      </c>
      <c r="C84" s="1">
        <f t="shared" si="5"/>
        <v>2.73306</v>
      </c>
      <c r="D84">
        <v>0.24848742065739976</v>
      </c>
      <c r="E84">
        <f t="shared" si="6"/>
        <v>13.907025318077865</v>
      </c>
      <c r="F84">
        <f t="shared" si="4"/>
        <v>1.3630190348908093</v>
      </c>
      <c r="G84">
        <f t="shared" si="7"/>
        <v>16.092974681922136</v>
      </c>
    </row>
    <row r="85" spans="1:7" x14ac:dyDescent="0.4">
      <c r="A85">
        <v>83</v>
      </c>
      <c r="C85" s="1">
        <f t="shared" si="5"/>
        <v>2.7663899999999999</v>
      </c>
      <c r="D85">
        <v>0.24848742065739976</v>
      </c>
      <c r="E85">
        <f t="shared" si="6"/>
        <v>13.907025318077865</v>
      </c>
      <c r="F85">
        <f t="shared" si="4"/>
        <v>1.3796412182431361</v>
      </c>
      <c r="G85">
        <f t="shared" si="7"/>
        <v>16.092974681922136</v>
      </c>
    </row>
    <row r="86" spans="1:7" x14ac:dyDescent="0.4">
      <c r="A86">
        <v>84</v>
      </c>
      <c r="C86" s="1">
        <f t="shared" si="5"/>
        <v>2.7997199999999998</v>
      </c>
      <c r="D86">
        <v>0.24848742065739976</v>
      </c>
      <c r="E86">
        <f t="shared" si="6"/>
        <v>13.907025318077865</v>
      </c>
      <c r="F86">
        <f t="shared" si="4"/>
        <v>1.3962634015954631</v>
      </c>
      <c r="G86">
        <f t="shared" si="7"/>
        <v>16.092974681922136</v>
      </c>
    </row>
    <row r="87" spans="1:7" x14ac:dyDescent="0.4">
      <c r="A87">
        <v>85</v>
      </c>
      <c r="C87" s="1">
        <f t="shared" si="5"/>
        <v>2.8330500000000001</v>
      </c>
      <c r="D87">
        <v>0.24848742065739976</v>
      </c>
      <c r="E87">
        <f t="shared" si="6"/>
        <v>13.907025318077865</v>
      </c>
      <c r="F87">
        <f t="shared" si="4"/>
        <v>1.4128855849477902</v>
      </c>
      <c r="G87">
        <f t="shared" si="7"/>
        <v>16.092974681922136</v>
      </c>
    </row>
    <row r="88" spans="1:7" x14ac:dyDescent="0.4">
      <c r="A88">
        <v>86</v>
      </c>
      <c r="C88" s="1">
        <f t="shared" si="5"/>
        <v>2.8663799999999999</v>
      </c>
      <c r="D88">
        <v>0.24848742065739976</v>
      </c>
      <c r="E88">
        <f t="shared" si="6"/>
        <v>13.907025318077865</v>
      </c>
      <c r="F88">
        <f t="shared" si="4"/>
        <v>1.4295077683001172</v>
      </c>
      <c r="G88">
        <f t="shared" si="7"/>
        <v>16.092974681922136</v>
      </c>
    </row>
    <row r="89" spans="1:7" x14ac:dyDescent="0.4">
      <c r="A89">
        <v>87</v>
      </c>
      <c r="C89" s="1">
        <f t="shared" si="5"/>
        <v>2.8997099999999998</v>
      </c>
      <c r="D89">
        <v>0.24848742065739976</v>
      </c>
      <c r="E89">
        <f t="shared" si="6"/>
        <v>13.907025318077865</v>
      </c>
      <c r="F89">
        <f t="shared" si="4"/>
        <v>1.446129951652444</v>
      </c>
      <c r="G89">
        <f t="shared" si="7"/>
        <v>16.092974681922136</v>
      </c>
    </row>
    <row r="90" spans="1:7" x14ac:dyDescent="0.4">
      <c r="A90">
        <v>88</v>
      </c>
      <c r="C90" s="1">
        <f t="shared" si="5"/>
        <v>2.9330400000000001</v>
      </c>
      <c r="D90">
        <v>0.24848742065739976</v>
      </c>
      <c r="E90">
        <f t="shared" si="6"/>
        <v>13.907025318077865</v>
      </c>
      <c r="F90">
        <f t="shared" si="4"/>
        <v>1.462752135004771</v>
      </c>
      <c r="G90">
        <f t="shared" si="7"/>
        <v>16.092974681922136</v>
      </c>
    </row>
    <row r="91" spans="1:7" x14ac:dyDescent="0.4">
      <c r="A91">
        <v>89</v>
      </c>
      <c r="C91" s="1">
        <f t="shared" si="5"/>
        <v>2.96637</v>
      </c>
      <c r="D91">
        <v>0.24848742065739976</v>
      </c>
      <c r="E91">
        <f t="shared" si="6"/>
        <v>13.907025318077865</v>
      </c>
      <c r="F91">
        <f t="shared" si="4"/>
        <v>1.479374318357098</v>
      </c>
      <c r="G91">
        <f t="shared" si="7"/>
        <v>16.092974681922136</v>
      </c>
    </row>
    <row r="92" spans="1:7" x14ac:dyDescent="0.4">
      <c r="A92">
        <v>90</v>
      </c>
      <c r="C92" s="1">
        <f t="shared" si="5"/>
        <v>2.9996999999999998</v>
      </c>
      <c r="D92">
        <v>0.24848742065739976</v>
      </c>
      <c r="E92">
        <f t="shared" si="6"/>
        <v>13.907025318077865</v>
      </c>
      <c r="F92">
        <f t="shared" si="4"/>
        <v>1.4959965017094248</v>
      </c>
      <c r="G92">
        <f t="shared" si="7"/>
        <v>16.092974681922136</v>
      </c>
    </row>
    <row r="93" spans="1:7" x14ac:dyDescent="0.4">
      <c r="A93">
        <v>91</v>
      </c>
      <c r="C93" s="1">
        <f t="shared" si="5"/>
        <v>3.0330299999999997</v>
      </c>
      <c r="D93">
        <v>0.24848742065739976</v>
      </c>
      <c r="E93">
        <f t="shared" si="6"/>
        <v>13.907025318077865</v>
      </c>
      <c r="F93">
        <f t="shared" si="4"/>
        <v>1.5126186850617516</v>
      </c>
      <c r="G93">
        <f t="shared" si="7"/>
        <v>16.092974681922136</v>
      </c>
    </row>
    <row r="94" spans="1:7" x14ac:dyDescent="0.4">
      <c r="A94">
        <v>92</v>
      </c>
      <c r="C94" s="1">
        <f t="shared" si="5"/>
        <v>3.06636</v>
      </c>
      <c r="D94">
        <v>0.24848742065739976</v>
      </c>
      <c r="E94">
        <f t="shared" si="6"/>
        <v>13.907025318077865</v>
      </c>
      <c r="F94">
        <f t="shared" si="4"/>
        <v>1.5292408684140788</v>
      </c>
      <c r="G94">
        <f t="shared" si="7"/>
        <v>16.092974681922136</v>
      </c>
    </row>
    <row r="95" spans="1:7" x14ac:dyDescent="0.4">
      <c r="A95">
        <v>93</v>
      </c>
      <c r="C95" s="1">
        <f t="shared" si="5"/>
        <v>3.0996899999999998</v>
      </c>
      <c r="D95">
        <v>0.24848742065739976</v>
      </c>
      <c r="E95">
        <f t="shared" si="6"/>
        <v>13.907025318077865</v>
      </c>
      <c r="F95">
        <f t="shared" si="4"/>
        <v>1.5458630517664056</v>
      </c>
      <c r="G95">
        <f t="shared" si="7"/>
        <v>16.092974681922136</v>
      </c>
    </row>
    <row r="96" spans="1:7" x14ac:dyDescent="0.4">
      <c r="A96">
        <v>94</v>
      </c>
      <c r="C96" s="1">
        <f t="shared" si="5"/>
        <v>3.1330199999999997</v>
      </c>
      <c r="D96">
        <v>0.24848742065739976</v>
      </c>
      <c r="E96">
        <f t="shared" si="6"/>
        <v>13.907025318077865</v>
      </c>
      <c r="F96">
        <f t="shared" si="4"/>
        <v>1.5624852351187326</v>
      </c>
      <c r="G96">
        <f t="shared" si="7"/>
        <v>16.092974681922136</v>
      </c>
    </row>
    <row r="97" spans="1:7" x14ac:dyDescent="0.4">
      <c r="A97">
        <v>95</v>
      </c>
      <c r="C97" s="1">
        <f t="shared" si="5"/>
        <v>3.16635</v>
      </c>
      <c r="D97">
        <v>0.24848742065739976</v>
      </c>
      <c r="E97">
        <f t="shared" si="6"/>
        <v>13.907025318077865</v>
      </c>
      <c r="F97">
        <f t="shared" si="4"/>
        <v>1.5791074184710596</v>
      </c>
      <c r="G97">
        <f t="shared" si="7"/>
        <v>16.092974681922136</v>
      </c>
    </row>
    <row r="98" spans="1:7" x14ac:dyDescent="0.4">
      <c r="A98">
        <v>96</v>
      </c>
      <c r="C98" s="1">
        <f t="shared" si="5"/>
        <v>3.1996799999999999</v>
      </c>
      <c r="D98">
        <v>0.24848742065739976</v>
      </c>
      <c r="E98">
        <f t="shared" si="6"/>
        <v>13.907025318077865</v>
      </c>
      <c r="F98">
        <f t="shared" si="4"/>
        <v>1.5957296018233864</v>
      </c>
      <c r="G98">
        <f t="shared" si="7"/>
        <v>16.092974681922136</v>
      </c>
    </row>
    <row r="99" spans="1:7" x14ac:dyDescent="0.4">
      <c r="A99">
        <v>97</v>
      </c>
      <c r="C99" s="1">
        <f t="shared" si="5"/>
        <v>3.2330099999999997</v>
      </c>
      <c r="D99">
        <v>0.24848742065739976</v>
      </c>
      <c r="E99">
        <f t="shared" si="6"/>
        <v>13.907025318077865</v>
      </c>
      <c r="F99">
        <f t="shared" si="4"/>
        <v>1.6123517851757134</v>
      </c>
      <c r="G99">
        <f t="shared" si="7"/>
        <v>16.092974681922136</v>
      </c>
    </row>
    <row r="100" spans="1:7" x14ac:dyDescent="0.4">
      <c r="A100">
        <v>98</v>
      </c>
      <c r="C100" s="1">
        <f t="shared" si="5"/>
        <v>3.26634</v>
      </c>
      <c r="D100">
        <v>0.24848742065739976</v>
      </c>
      <c r="E100">
        <f t="shared" si="6"/>
        <v>13.907025318077865</v>
      </c>
      <c r="F100">
        <f t="shared" si="4"/>
        <v>1.6289739685280404</v>
      </c>
      <c r="G100">
        <f t="shared" si="7"/>
        <v>16.092974681922136</v>
      </c>
    </row>
    <row r="101" spans="1:7" x14ac:dyDescent="0.4">
      <c r="A101">
        <v>99</v>
      </c>
      <c r="C101" s="1">
        <f t="shared" si="5"/>
        <v>3.2996699999999999</v>
      </c>
      <c r="D101">
        <v>0.24848742065739976</v>
      </c>
      <c r="E101">
        <f t="shared" si="6"/>
        <v>13.907025318077865</v>
      </c>
      <c r="F101">
        <f t="shared" si="4"/>
        <v>1.6455961518803672</v>
      </c>
      <c r="G101">
        <f t="shared" si="7"/>
        <v>16.092974681922136</v>
      </c>
    </row>
    <row r="102" spans="1:7" x14ac:dyDescent="0.4">
      <c r="A102">
        <v>100</v>
      </c>
      <c r="C102" s="1">
        <f t="shared" si="5"/>
        <v>3.3329999999999997</v>
      </c>
      <c r="D102">
        <v>0.24848742065739976</v>
      </c>
      <c r="E102">
        <f t="shared" si="6"/>
        <v>13.907025318077865</v>
      </c>
      <c r="F102">
        <f t="shared" si="4"/>
        <v>1.6622183352326942</v>
      </c>
      <c r="G102">
        <f t="shared" si="7"/>
        <v>16.092974681922136</v>
      </c>
    </row>
    <row r="103" spans="1:7" x14ac:dyDescent="0.4">
      <c r="A103">
        <v>101</v>
      </c>
      <c r="C103" s="1">
        <f t="shared" si="5"/>
        <v>3.36633</v>
      </c>
      <c r="D103">
        <v>0.24848742065739976</v>
      </c>
      <c r="E103">
        <f t="shared" si="6"/>
        <v>13.907025318077865</v>
      </c>
      <c r="F103">
        <f t="shared" si="4"/>
        <v>1.6788405185850213</v>
      </c>
      <c r="G103">
        <f t="shared" si="7"/>
        <v>16.092974681922136</v>
      </c>
    </row>
    <row r="104" spans="1:7" x14ac:dyDescent="0.4">
      <c r="A104">
        <v>102</v>
      </c>
      <c r="C104" s="1">
        <f t="shared" si="5"/>
        <v>3.3996599999999999</v>
      </c>
      <c r="D104">
        <v>0.24848742065739976</v>
      </c>
      <c r="E104">
        <f t="shared" si="6"/>
        <v>13.907025318077865</v>
      </c>
      <c r="F104">
        <f t="shared" si="4"/>
        <v>1.695462701937348</v>
      </c>
      <c r="G104">
        <f t="shared" si="7"/>
        <v>16.092974681922136</v>
      </c>
    </row>
    <row r="105" spans="1:7" x14ac:dyDescent="0.4">
      <c r="A105">
        <v>103</v>
      </c>
      <c r="C105" s="1">
        <f t="shared" si="5"/>
        <v>3.4329899999999998</v>
      </c>
      <c r="D105">
        <v>0.24848742065739976</v>
      </c>
      <c r="E105">
        <f t="shared" si="6"/>
        <v>13.907025318077865</v>
      </c>
      <c r="F105">
        <f t="shared" si="4"/>
        <v>1.7120848852896751</v>
      </c>
      <c r="G105">
        <f t="shared" si="7"/>
        <v>16.092974681922136</v>
      </c>
    </row>
    <row r="106" spans="1:7" x14ac:dyDescent="0.4">
      <c r="A106">
        <v>104</v>
      </c>
      <c r="C106" s="1">
        <f t="shared" si="5"/>
        <v>3.4663199999999996</v>
      </c>
      <c r="D106">
        <v>0.24848742065739976</v>
      </c>
      <c r="E106">
        <f t="shared" si="6"/>
        <v>13.907025318077865</v>
      </c>
      <c r="F106">
        <f t="shared" si="4"/>
        <v>1.7287070686420019</v>
      </c>
      <c r="G106">
        <f t="shared" si="7"/>
        <v>16.092974681922136</v>
      </c>
    </row>
    <row r="107" spans="1:7" x14ac:dyDescent="0.4">
      <c r="A107">
        <v>105</v>
      </c>
      <c r="C107" s="1">
        <f t="shared" si="5"/>
        <v>3.4996499999999999</v>
      </c>
      <c r="D107">
        <v>0.24848742065739976</v>
      </c>
      <c r="E107">
        <f t="shared" si="6"/>
        <v>13.907025318077865</v>
      </c>
      <c r="F107">
        <f t="shared" si="4"/>
        <v>1.7453292519943291</v>
      </c>
      <c r="G107">
        <f t="shared" si="7"/>
        <v>16.092974681922136</v>
      </c>
    </row>
    <row r="108" spans="1:7" x14ac:dyDescent="0.4">
      <c r="A108">
        <v>106</v>
      </c>
      <c r="C108" s="1">
        <f t="shared" si="5"/>
        <v>3.5329799999999998</v>
      </c>
      <c r="D108">
        <v>0.24848742065739976</v>
      </c>
      <c r="E108">
        <f t="shared" si="6"/>
        <v>13.907025318077865</v>
      </c>
      <c r="F108">
        <f t="shared" si="4"/>
        <v>1.7619514353466559</v>
      </c>
      <c r="G108">
        <f t="shared" si="7"/>
        <v>16.092974681922136</v>
      </c>
    </row>
    <row r="109" spans="1:7" x14ac:dyDescent="0.4">
      <c r="A109">
        <v>107</v>
      </c>
      <c r="C109" s="1">
        <f t="shared" si="5"/>
        <v>3.5663099999999996</v>
      </c>
      <c r="D109">
        <v>0.24848742065739976</v>
      </c>
      <c r="E109">
        <f t="shared" si="6"/>
        <v>13.907025318077865</v>
      </c>
      <c r="F109">
        <f t="shared" si="4"/>
        <v>1.7785736186989827</v>
      </c>
      <c r="G109">
        <f t="shared" si="7"/>
        <v>16.092974681922136</v>
      </c>
    </row>
    <row r="110" spans="1:7" x14ac:dyDescent="0.4">
      <c r="A110">
        <v>108</v>
      </c>
      <c r="C110" s="1">
        <f t="shared" si="5"/>
        <v>3.59964</v>
      </c>
      <c r="D110">
        <v>0.24848742065739976</v>
      </c>
      <c r="E110">
        <f t="shared" si="6"/>
        <v>13.907025318077865</v>
      </c>
      <c r="F110">
        <f t="shared" si="4"/>
        <v>1.7951958020513099</v>
      </c>
      <c r="G110">
        <f t="shared" si="7"/>
        <v>16.092974681922136</v>
      </c>
    </row>
    <row r="111" spans="1:7" x14ac:dyDescent="0.4">
      <c r="A111">
        <v>109</v>
      </c>
      <c r="C111" s="1">
        <f t="shared" si="5"/>
        <v>3.6329699999999998</v>
      </c>
      <c r="D111">
        <v>0.24848742065739976</v>
      </c>
      <c r="E111">
        <f t="shared" si="6"/>
        <v>13.907025318077865</v>
      </c>
      <c r="F111">
        <f t="shared" si="4"/>
        <v>1.8118179854036367</v>
      </c>
      <c r="G111">
        <f t="shared" si="7"/>
        <v>16.092974681922136</v>
      </c>
    </row>
    <row r="112" spans="1:7" x14ac:dyDescent="0.4">
      <c r="A112">
        <v>110</v>
      </c>
      <c r="C112" s="1">
        <f t="shared" si="5"/>
        <v>3.6662999999999997</v>
      </c>
      <c r="D112">
        <v>0.24848742065739976</v>
      </c>
      <c r="E112">
        <f t="shared" si="6"/>
        <v>13.907025318077865</v>
      </c>
      <c r="F112">
        <f t="shared" si="4"/>
        <v>1.8284401687559635</v>
      </c>
      <c r="G112">
        <f t="shared" si="7"/>
        <v>16.092974681922136</v>
      </c>
    </row>
    <row r="113" spans="1:7" x14ac:dyDescent="0.4">
      <c r="A113">
        <v>111</v>
      </c>
      <c r="C113" s="1">
        <f t="shared" si="5"/>
        <v>3.69963</v>
      </c>
      <c r="D113">
        <v>0.24848742065739976</v>
      </c>
      <c r="E113">
        <f t="shared" si="6"/>
        <v>13.907025318077865</v>
      </c>
      <c r="F113">
        <f t="shared" si="4"/>
        <v>1.8450623521082907</v>
      </c>
      <c r="G113">
        <f t="shared" si="7"/>
        <v>16.092974681922136</v>
      </c>
    </row>
    <row r="114" spans="1:7" x14ac:dyDescent="0.4">
      <c r="A114">
        <v>112</v>
      </c>
      <c r="C114" s="1">
        <f t="shared" si="5"/>
        <v>3.7329599999999998</v>
      </c>
      <c r="D114">
        <v>0.24848742065739976</v>
      </c>
      <c r="E114">
        <f t="shared" si="6"/>
        <v>13.907025318077865</v>
      </c>
      <c r="F114">
        <f t="shared" si="4"/>
        <v>1.8616845354606175</v>
      </c>
      <c r="G114">
        <f t="shared" si="7"/>
        <v>16.092974681922136</v>
      </c>
    </row>
    <row r="115" spans="1:7" x14ac:dyDescent="0.4">
      <c r="A115">
        <v>113</v>
      </c>
      <c r="C115" s="1">
        <f t="shared" si="5"/>
        <v>3.7662899999999997</v>
      </c>
      <c r="D115">
        <v>0.24848742065739976</v>
      </c>
      <c r="E115">
        <f t="shared" si="6"/>
        <v>13.907025318077865</v>
      </c>
      <c r="F115">
        <f t="shared" si="4"/>
        <v>1.8783067188129443</v>
      </c>
      <c r="G115">
        <f t="shared" si="7"/>
        <v>16.092974681922136</v>
      </c>
    </row>
    <row r="116" spans="1:7" x14ac:dyDescent="0.4">
      <c r="A116">
        <v>114</v>
      </c>
      <c r="C116" s="1">
        <f t="shared" si="5"/>
        <v>3.79962</v>
      </c>
      <c r="D116">
        <v>0.24848742065739976</v>
      </c>
      <c r="E116">
        <f t="shared" si="6"/>
        <v>13.907025318077865</v>
      </c>
      <c r="F116">
        <f t="shared" si="4"/>
        <v>1.8949289021652715</v>
      </c>
      <c r="G116">
        <f t="shared" si="7"/>
        <v>16.092974681922136</v>
      </c>
    </row>
    <row r="117" spans="1:7" x14ac:dyDescent="0.4">
      <c r="A117">
        <v>115</v>
      </c>
      <c r="C117" s="1">
        <f t="shared" si="5"/>
        <v>3.8329499999999999</v>
      </c>
      <c r="D117">
        <v>0.24848742065739976</v>
      </c>
      <c r="E117">
        <f t="shared" si="6"/>
        <v>13.907025318077865</v>
      </c>
      <c r="F117">
        <f t="shared" si="4"/>
        <v>1.9115510855175983</v>
      </c>
      <c r="G117">
        <f t="shared" si="7"/>
        <v>16.092974681922136</v>
      </c>
    </row>
    <row r="118" spans="1:7" x14ac:dyDescent="0.4">
      <c r="A118">
        <v>116</v>
      </c>
      <c r="C118" s="1">
        <f t="shared" si="5"/>
        <v>3.8662799999999997</v>
      </c>
      <c r="D118">
        <v>0.24848742065739976</v>
      </c>
      <c r="E118">
        <f t="shared" si="6"/>
        <v>13.907025318077865</v>
      </c>
      <c r="F118">
        <f t="shared" si="4"/>
        <v>1.9281732688699253</v>
      </c>
      <c r="G118">
        <f t="shared" si="7"/>
        <v>16.092974681922136</v>
      </c>
    </row>
    <row r="119" spans="1:7" x14ac:dyDescent="0.4">
      <c r="A119">
        <v>117</v>
      </c>
      <c r="C119" s="1">
        <f t="shared" si="5"/>
        <v>3.89961</v>
      </c>
      <c r="D119">
        <v>0.24848742065739976</v>
      </c>
      <c r="E119">
        <f t="shared" si="6"/>
        <v>13.907025318077865</v>
      </c>
      <c r="F119">
        <f t="shared" si="4"/>
        <v>1.9447954522222524</v>
      </c>
      <c r="G119">
        <f t="shared" si="7"/>
        <v>16.092974681922136</v>
      </c>
    </row>
    <row r="120" spans="1:7" x14ac:dyDescent="0.4">
      <c r="A120">
        <v>118</v>
      </c>
      <c r="C120" s="1">
        <f t="shared" si="5"/>
        <v>3.9329399999999999</v>
      </c>
      <c r="D120">
        <v>0.24848742065739976</v>
      </c>
      <c r="E120">
        <f t="shared" si="6"/>
        <v>13.907025318077865</v>
      </c>
      <c r="F120">
        <f t="shared" si="4"/>
        <v>1.9614176355745792</v>
      </c>
      <c r="G120">
        <f t="shared" si="7"/>
        <v>16.092974681922136</v>
      </c>
    </row>
    <row r="121" spans="1:7" x14ac:dyDescent="0.4">
      <c r="A121">
        <v>119</v>
      </c>
      <c r="C121" s="1">
        <f t="shared" si="5"/>
        <v>3.9662699999999997</v>
      </c>
      <c r="D121">
        <v>0.24848742065739976</v>
      </c>
      <c r="E121">
        <f t="shared" si="6"/>
        <v>13.907025318077865</v>
      </c>
      <c r="F121">
        <f t="shared" si="4"/>
        <v>1.9780398189269062</v>
      </c>
      <c r="G121">
        <f t="shared" si="7"/>
        <v>16.092974681922136</v>
      </c>
    </row>
    <row r="122" spans="1:7" x14ac:dyDescent="0.4">
      <c r="A122">
        <v>120</v>
      </c>
      <c r="C122" s="1">
        <f t="shared" si="5"/>
        <v>3.9996</v>
      </c>
      <c r="D122">
        <v>0.24848742065739976</v>
      </c>
      <c r="E122">
        <f t="shared" si="6"/>
        <v>13.907025318077865</v>
      </c>
      <c r="F122">
        <f t="shared" si="4"/>
        <v>1.9946620022792332</v>
      </c>
      <c r="G122">
        <f t="shared" si="7"/>
        <v>16.092974681922136</v>
      </c>
    </row>
    <row r="123" spans="1:7" x14ac:dyDescent="0.4">
      <c r="A123">
        <v>121</v>
      </c>
      <c r="C123" s="1">
        <f t="shared" si="5"/>
        <v>4.0329299999999995</v>
      </c>
      <c r="D123">
        <v>0.24848742065739976</v>
      </c>
      <c r="E123">
        <f t="shared" si="6"/>
        <v>13.907025318077865</v>
      </c>
      <c r="F123">
        <f t="shared" si="4"/>
        <v>2.0112841856315598</v>
      </c>
      <c r="G123">
        <f t="shared" si="7"/>
        <v>16.092974681922136</v>
      </c>
    </row>
    <row r="124" spans="1:7" x14ac:dyDescent="0.4">
      <c r="A124">
        <v>122</v>
      </c>
      <c r="C124" s="1">
        <f t="shared" si="5"/>
        <v>4.0662599999999998</v>
      </c>
      <c r="D124">
        <v>0.24848742065739976</v>
      </c>
      <c r="E124">
        <f t="shared" si="6"/>
        <v>13.907025318077865</v>
      </c>
      <c r="F124">
        <f t="shared" si="4"/>
        <v>2.0279063689838868</v>
      </c>
      <c r="G124">
        <f t="shared" si="7"/>
        <v>16.092974681922136</v>
      </c>
    </row>
    <row r="125" spans="1:7" x14ac:dyDescent="0.4">
      <c r="A125">
        <v>123</v>
      </c>
      <c r="C125" s="1">
        <f t="shared" si="5"/>
        <v>4.0995900000000001</v>
      </c>
      <c r="D125">
        <v>0.24848742065739976</v>
      </c>
      <c r="E125">
        <f t="shared" si="6"/>
        <v>13.907025318077865</v>
      </c>
      <c r="F125">
        <f t="shared" si="4"/>
        <v>2.0445285523362142</v>
      </c>
      <c r="G125">
        <f t="shared" si="7"/>
        <v>16.092974681922136</v>
      </c>
    </row>
    <row r="126" spans="1:7" x14ac:dyDescent="0.4">
      <c r="A126">
        <v>124</v>
      </c>
      <c r="C126" s="1">
        <f t="shared" si="5"/>
        <v>4.1329199999999995</v>
      </c>
      <c r="D126">
        <v>0.24848742065739976</v>
      </c>
      <c r="E126">
        <f t="shared" si="6"/>
        <v>13.907025318077865</v>
      </c>
      <c r="F126">
        <f t="shared" si="4"/>
        <v>2.0611507356885408</v>
      </c>
      <c r="G126">
        <f t="shared" si="7"/>
        <v>16.092974681922136</v>
      </c>
    </row>
    <row r="127" spans="1:7" x14ac:dyDescent="0.4">
      <c r="A127">
        <v>125</v>
      </c>
      <c r="C127" s="1">
        <f t="shared" si="5"/>
        <v>4.1662499999999998</v>
      </c>
      <c r="D127">
        <v>0.24848742065739976</v>
      </c>
      <c r="E127">
        <f t="shared" si="6"/>
        <v>13.907025318077865</v>
      </c>
      <c r="F127">
        <f t="shared" si="4"/>
        <v>2.0777729190408678</v>
      </c>
      <c r="G127">
        <f t="shared" si="7"/>
        <v>16.092974681922136</v>
      </c>
    </row>
    <row r="128" spans="1:7" x14ac:dyDescent="0.4">
      <c r="A128">
        <v>126</v>
      </c>
      <c r="C128" s="1">
        <f t="shared" si="5"/>
        <v>4.1995800000000001</v>
      </c>
      <c r="D128">
        <v>0.24848742065739976</v>
      </c>
      <c r="E128">
        <f t="shared" si="6"/>
        <v>13.907025318077865</v>
      </c>
      <c r="F128">
        <f t="shared" si="4"/>
        <v>2.0943951023931948</v>
      </c>
      <c r="G128">
        <f t="shared" si="7"/>
        <v>16.092974681922136</v>
      </c>
    </row>
    <row r="129" spans="1:7" x14ac:dyDescent="0.4">
      <c r="A129">
        <v>127</v>
      </c>
      <c r="C129" s="1">
        <f t="shared" si="5"/>
        <v>4.2329099999999995</v>
      </c>
      <c r="D129">
        <v>0.24848742065739976</v>
      </c>
      <c r="E129">
        <f t="shared" si="6"/>
        <v>13.907025318077865</v>
      </c>
      <c r="F129">
        <f t="shared" si="4"/>
        <v>2.1110172857455214</v>
      </c>
      <c r="G129">
        <f t="shared" si="7"/>
        <v>16.092974681922136</v>
      </c>
    </row>
    <row r="130" spans="1:7" x14ac:dyDescent="0.4">
      <c r="A130">
        <v>128</v>
      </c>
      <c r="B130" t="s">
        <v>28</v>
      </c>
      <c r="C130" s="1">
        <f t="shared" si="5"/>
        <v>4.2662399999999998</v>
      </c>
      <c r="D130">
        <v>0.24848742065740001</v>
      </c>
      <c r="E130">
        <f t="shared" si="6"/>
        <v>13.907025318077869</v>
      </c>
      <c r="F130">
        <f t="shared" si="4"/>
        <v>2.1276394690978484</v>
      </c>
      <c r="G130">
        <f t="shared" si="7"/>
        <v>16.092974681922129</v>
      </c>
    </row>
    <row r="131" spans="1:7" x14ac:dyDescent="0.4">
      <c r="A131">
        <v>129</v>
      </c>
      <c r="C131" s="1">
        <f t="shared" si="5"/>
        <v>4.2995700000000001</v>
      </c>
      <c r="D131">
        <v>0.24848742065740001</v>
      </c>
      <c r="E131">
        <f t="shared" si="6"/>
        <v>13.907025318077869</v>
      </c>
      <c r="F131">
        <f t="shared" ref="F131:F194" si="8">0.498715372107019*C131</f>
        <v>2.1442616524501759</v>
      </c>
      <c r="G131">
        <f t="shared" si="7"/>
        <v>16.092974681922129</v>
      </c>
    </row>
    <row r="132" spans="1:7" x14ac:dyDescent="0.4">
      <c r="A132">
        <v>130</v>
      </c>
      <c r="C132" s="1">
        <f t="shared" ref="C132:C195" si="9">A132*0.03333</f>
        <v>4.3328999999999995</v>
      </c>
      <c r="D132">
        <v>0.24848742065740001</v>
      </c>
      <c r="E132">
        <f t="shared" ref="E132:E195" si="10">15*SIN(PI()/2-D132+ASIN(2*COS(D132)/3))/COS(D132)</f>
        <v>13.907025318077869</v>
      </c>
      <c r="F132">
        <f t="shared" si="8"/>
        <v>2.1608838358025024</v>
      </c>
      <c r="G132">
        <f t="shared" ref="G132:G195" si="11">30-E132</f>
        <v>16.092974681922129</v>
      </c>
    </row>
    <row r="133" spans="1:7" x14ac:dyDescent="0.4">
      <c r="A133">
        <v>131</v>
      </c>
      <c r="C133" s="1">
        <f t="shared" si="9"/>
        <v>4.3662299999999998</v>
      </c>
      <c r="D133">
        <v>0.24848742065740001</v>
      </c>
      <c r="E133">
        <f t="shared" si="10"/>
        <v>13.907025318077869</v>
      </c>
      <c r="F133">
        <f t="shared" si="8"/>
        <v>2.1775060191548294</v>
      </c>
      <c r="G133">
        <f t="shared" si="11"/>
        <v>16.092974681922129</v>
      </c>
    </row>
    <row r="134" spans="1:7" x14ac:dyDescent="0.4">
      <c r="A134">
        <v>132</v>
      </c>
      <c r="C134" s="1">
        <f t="shared" si="9"/>
        <v>4.3995600000000001</v>
      </c>
      <c r="D134">
        <v>0.24848742065740001</v>
      </c>
      <c r="E134">
        <f t="shared" si="10"/>
        <v>13.907025318077869</v>
      </c>
      <c r="F134">
        <f t="shared" si="8"/>
        <v>2.1941282025071565</v>
      </c>
      <c r="G134">
        <f t="shared" si="11"/>
        <v>16.092974681922129</v>
      </c>
    </row>
    <row r="135" spans="1:7" x14ac:dyDescent="0.4">
      <c r="A135">
        <v>133</v>
      </c>
      <c r="C135" s="1">
        <f t="shared" si="9"/>
        <v>4.4328899999999996</v>
      </c>
      <c r="D135">
        <v>0.24848742065740001</v>
      </c>
      <c r="E135">
        <f t="shared" si="10"/>
        <v>13.907025318077869</v>
      </c>
      <c r="F135">
        <f t="shared" si="8"/>
        <v>2.210750385859483</v>
      </c>
      <c r="G135">
        <f t="shared" si="11"/>
        <v>16.092974681922129</v>
      </c>
    </row>
    <row r="136" spans="1:7" x14ac:dyDescent="0.4">
      <c r="A136">
        <v>134</v>
      </c>
      <c r="C136" s="1">
        <f t="shared" si="9"/>
        <v>4.4662199999999999</v>
      </c>
      <c r="D136">
        <v>0.24848742065740001</v>
      </c>
      <c r="E136">
        <f t="shared" si="10"/>
        <v>13.907025318077869</v>
      </c>
      <c r="F136">
        <f t="shared" si="8"/>
        <v>2.2273725692118105</v>
      </c>
      <c r="G136">
        <f t="shared" si="11"/>
        <v>16.092974681922129</v>
      </c>
    </row>
    <row r="137" spans="1:7" x14ac:dyDescent="0.4">
      <c r="A137">
        <v>135</v>
      </c>
      <c r="C137" s="1">
        <f t="shared" si="9"/>
        <v>4.4995500000000002</v>
      </c>
      <c r="D137">
        <v>0.24848742065740001</v>
      </c>
      <c r="E137">
        <f t="shared" si="10"/>
        <v>13.907025318077869</v>
      </c>
      <c r="F137">
        <f t="shared" si="8"/>
        <v>2.2439947525641375</v>
      </c>
      <c r="G137">
        <f t="shared" si="11"/>
        <v>16.092974681922129</v>
      </c>
    </row>
    <row r="138" spans="1:7" x14ac:dyDescent="0.4">
      <c r="A138">
        <v>136</v>
      </c>
      <c r="C138" s="1">
        <f t="shared" si="9"/>
        <v>4.5328799999999996</v>
      </c>
      <c r="D138">
        <v>0.24848742065740001</v>
      </c>
      <c r="E138">
        <f t="shared" si="10"/>
        <v>13.907025318077869</v>
      </c>
      <c r="F138">
        <f t="shared" si="8"/>
        <v>2.2606169359164641</v>
      </c>
      <c r="G138">
        <f t="shared" si="11"/>
        <v>16.092974681922129</v>
      </c>
    </row>
    <row r="139" spans="1:7" x14ac:dyDescent="0.4">
      <c r="A139">
        <v>137</v>
      </c>
      <c r="C139" s="1">
        <f t="shared" si="9"/>
        <v>4.5662099999999999</v>
      </c>
      <c r="D139">
        <v>0.24848742065740001</v>
      </c>
      <c r="E139">
        <f t="shared" si="10"/>
        <v>13.907025318077869</v>
      </c>
      <c r="F139">
        <f t="shared" si="8"/>
        <v>2.2772391192687911</v>
      </c>
      <c r="G139">
        <f t="shared" si="11"/>
        <v>16.092974681922129</v>
      </c>
    </row>
    <row r="140" spans="1:7" x14ac:dyDescent="0.4">
      <c r="A140">
        <v>138</v>
      </c>
      <c r="C140" s="1">
        <f t="shared" si="9"/>
        <v>4.5995400000000002</v>
      </c>
      <c r="D140">
        <v>0.24848742065740001</v>
      </c>
      <c r="E140">
        <f t="shared" si="10"/>
        <v>13.907025318077869</v>
      </c>
      <c r="F140">
        <f t="shared" si="8"/>
        <v>2.2938613026211181</v>
      </c>
      <c r="G140">
        <f t="shared" si="11"/>
        <v>16.092974681922129</v>
      </c>
    </row>
    <row r="141" spans="1:7" x14ac:dyDescent="0.4">
      <c r="A141">
        <v>139</v>
      </c>
      <c r="C141" s="1">
        <f t="shared" si="9"/>
        <v>4.6328699999999996</v>
      </c>
      <c r="D141">
        <v>0.24848742065740001</v>
      </c>
      <c r="E141">
        <f t="shared" si="10"/>
        <v>13.907025318077869</v>
      </c>
      <c r="F141">
        <f t="shared" si="8"/>
        <v>2.3104834859734451</v>
      </c>
      <c r="G141">
        <f t="shared" si="11"/>
        <v>16.092974681922129</v>
      </c>
    </row>
    <row r="142" spans="1:7" x14ac:dyDescent="0.4">
      <c r="A142">
        <v>140</v>
      </c>
      <c r="C142" s="1">
        <f t="shared" si="9"/>
        <v>4.6661999999999999</v>
      </c>
      <c r="D142">
        <v>0.24848742065740001</v>
      </c>
      <c r="E142">
        <f t="shared" si="10"/>
        <v>13.907025318077869</v>
      </c>
      <c r="F142">
        <f t="shared" si="8"/>
        <v>2.3271056693257721</v>
      </c>
      <c r="G142">
        <f t="shared" si="11"/>
        <v>16.092974681922129</v>
      </c>
    </row>
    <row r="143" spans="1:7" x14ac:dyDescent="0.4">
      <c r="A143">
        <v>141</v>
      </c>
      <c r="C143" s="1">
        <f t="shared" si="9"/>
        <v>4.6995300000000002</v>
      </c>
      <c r="D143">
        <v>0.24848742065740001</v>
      </c>
      <c r="E143">
        <f t="shared" si="10"/>
        <v>13.907025318077869</v>
      </c>
      <c r="F143">
        <f t="shared" si="8"/>
        <v>2.3437278526780991</v>
      </c>
      <c r="G143">
        <f t="shared" si="11"/>
        <v>16.092974681922129</v>
      </c>
    </row>
    <row r="144" spans="1:7" x14ac:dyDescent="0.4">
      <c r="A144">
        <v>142</v>
      </c>
      <c r="C144" s="1">
        <f t="shared" si="9"/>
        <v>4.7328599999999996</v>
      </c>
      <c r="D144">
        <v>0.24848742065740001</v>
      </c>
      <c r="E144">
        <f t="shared" si="10"/>
        <v>13.907025318077869</v>
      </c>
      <c r="F144">
        <f t="shared" si="8"/>
        <v>2.3603500360304257</v>
      </c>
      <c r="G144">
        <f t="shared" si="11"/>
        <v>16.092974681922129</v>
      </c>
    </row>
    <row r="145" spans="1:7" x14ac:dyDescent="0.4">
      <c r="A145">
        <v>143</v>
      </c>
      <c r="C145" s="1">
        <f t="shared" si="9"/>
        <v>4.7661899999999999</v>
      </c>
      <c r="D145">
        <v>0.24848742065740001</v>
      </c>
      <c r="E145">
        <f t="shared" si="10"/>
        <v>13.907025318077869</v>
      </c>
      <c r="F145">
        <f t="shared" si="8"/>
        <v>2.3769722193827527</v>
      </c>
      <c r="G145">
        <f t="shared" si="11"/>
        <v>16.092974681922129</v>
      </c>
    </row>
    <row r="146" spans="1:7" x14ac:dyDescent="0.4">
      <c r="A146">
        <v>144</v>
      </c>
      <c r="C146" s="1">
        <f t="shared" si="9"/>
        <v>4.7995199999999993</v>
      </c>
      <c r="D146">
        <v>0.24848742065740001</v>
      </c>
      <c r="E146">
        <f t="shared" si="10"/>
        <v>13.907025318077869</v>
      </c>
      <c r="F146">
        <f t="shared" si="8"/>
        <v>2.3935944027350793</v>
      </c>
      <c r="G146">
        <f t="shared" si="11"/>
        <v>16.092974681922129</v>
      </c>
    </row>
    <row r="147" spans="1:7" x14ac:dyDescent="0.4">
      <c r="A147">
        <v>145</v>
      </c>
      <c r="C147" s="1">
        <f t="shared" si="9"/>
        <v>4.8328499999999996</v>
      </c>
      <c r="D147">
        <v>0.24848742065740001</v>
      </c>
      <c r="E147">
        <f t="shared" si="10"/>
        <v>13.907025318077869</v>
      </c>
      <c r="F147">
        <f t="shared" si="8"/>
        <v>2.4102165860874067</v>
      </c>
      <c r="G147">
        <f t="shared" si="11"/>
        <v>16.092974681922129</v>
      </c>
    </row>
    <row r="148" spans="1:7" x14ac:dyDescent="0.4">
      <c r="A148">
        <v>146</v>
      </c>
      <c r="C148" s="1">
        <f t="shared" si="9"/>
        <v>4.8661799999999999</v>
      </c>
      <c r="D148">
        <v>0.24848742065740001</v>
      </c>
      <c r="E148">
        <f t="shared" si="10"/>
        <v>13.907025318077869</v>
      </c>
      <c r="F148">
        <f t="shared" si="8"/>
        <v>2.4268387694397338</v>
      </c>
      <c r="G148">
        <f t="shared" si="11"/>
        <v>16.092974681922129</v>
      </c>
    </row>
    <row r="149" spans="1:7" x14ac:dyDescent="0.4">
      <c r="A149">
        <v>147</v>
      </c>
      <c r="C149" s="1">
        <f t="shared" si="9"/>
        <v>4.8995099999999994</v>
      </c>
      <c r="D149">
        <v>0.24848742065740001</v>
      </c>
      <c r="E149">
        <f t="shared" si="10"/>
        <v>13.907025318077869</v>
      </c>
      <c r="F149">
        <f t="shared" si="8"/>
        <v>2.4434609527920603</v>
      </c>
      <c r="G149">
        <f t="shared" si="11"/>
        <v>16.092974681922129</v>
      </c>
    </row>
    <row r="150" spans="1:7" x14ac:dyDescent="0.4">
      <c r="A150">
        <v>148</v>
      </c>
      <c r="C150" s="1">
        <f t="shared" si="9"/>
        <v>4.9328399999999997</v>
      </c>
      <c r="D150">
        <v>0.24848742065740001</v>
      </c>
      <c r="E150">
        <f t="shared" si="10"/>
        <v>13.907025318077869</v>
      </c>
      <c r="F150">
        <f t="shared" si="8"/>
        <v>2.4600831361443873</v>
      </c>
      <c r="G150">
        <f t="shared" si="11"/>
        <v>16.092974681922129</v>
      </c>
    </row>
    <row r="151" spans="1:7" x14ac:dyDescent="0.4">
      <c r="A151">
        <v>149</v>
      </c>
      <c r="C151" s="1">
        <f t="shared" si="9"/>
        <v>4.96617</v>
      </c>
      <c r="D151">
        <v>0.24848742065740001</v>
      </c>
      <c r="E151">
        <f t="shared" si="10"/>
        <v>13.907025318077869</v>
      </c>
      <c r="F151">
        <f t="shared" si="8"/>
        <v>2.4767053194967144</v>
      </c>
      <c r="G151">
        <f t="shared" si="11"/>
        <v>16.092974681922129</v>
      </c>
    </row>
    <row r="152" spans="1:7" x14ac:dyDescent="0.4">
      <c r="A152">
        <v>150</v>
      </c>
      <c r="C152" s="1">
        <f t="shared" si="9"/>
        <v>4.9994999999999994</v>
      </c>
      <c r="D152">
        <v>0.24848742065740001</v>
      </c>
      <c r="E152">
        <f t="shared" si="10"/>
        <v>13.907025318077869</v>
      </c>
      <c r="F152">
        <f t="shared" si="8"/>
        <v>2.4933275028490414</v>
      </c>
      <c r="G152">
        <f t="shared" si="11"/>
        <v>16.092974681922129</v>
      </c>
    </row>
    <row r="153" spans="1:7" x14ac:dyDescent="0.4">
      <c r="A153">
        <v>151</v>
      </c>
      <c r="C153" s="1">
        <f t="shared" si="9"/>
        <v>5.0328299999999997</v>
      </c>
      <c r="D153">
        <v>0.24848742065740001</v>
      </c>
      <c r="E153">
        <f t="shared" si="10"/>
        <v>13.907025318077869</v>
      </c>
      <c r="F153">
        <f t="shared" si="8"/>
        <v>2.5099496862013684</v>
      </c>
      <c r="G153">
        <f t="shared" si="11"/>
        <v>16.092974681922129</v>
      </c>
    </row>
    <row r="154" spans="1:7" x14ac:dyDescent="0.4">
      <c r="A154">
        <v>152</v>
      </c>
      <c r="C154" s="1">
        <f t="shared" si="9"/>
        <v>5.06616</v>
      </c>
      <c r="D154">
        <v>0.24848742065740001</v>
      </c>
      <c r="E154">
        <f t="shared" si="10"/>
        <v>13.907025318077869</v>
      </c>
      <c r="F154">
        <f t="shared" si="8"/>
        <v>2.5265718695536954</v>
      </c>
      <c r="G154">
        <f t="shared" si="11"/>
        <v>16.092974681922129</v>
      </c>
    </row>
    <row r="155" spans="1:7" x14ac:dyDescent="0.4">
      <c r="A155">
        <v>153</v>
      </c>
      <c r="C155" s="1">
        <f t="shared" si="9"/>
        <v>5.0994899999999994</v>
      </c>
      <c r="D155">
        <v>0.24848742065740001</v>
      </c>
      <c r="E155">
        <f t="shared" si="10"/>
        <v>13.907025318077869</v>
      </c>
      <c r="F155">
        <f t="shared" si="8"/>
        <v>2.543194052906022</v>
      </c>
      <c r="G155">
        <f t="shared" si="11"/>
        <v>16.092974681922129</v>
      </c>
    </row>
    <row r="156" spans="1:7" x14ac:dyDescent="0.4">
      <c r="A156">
        <v>154</v>
      </c>
      <c r="C156" s="1">
        <f t="shared" si="9"/>
        <v>5.1328199999999997</v>
      </c>
      <c r="D156">
        <v>0.24848742065740001</v>
      </c>
      <c r="E156">
        <f t="shared" si="10"/>
        <v>13.907025318077869</v>
      </c>
      <c r="F156">
        <f t="shared" si="8"/>
        <v>2.559816236258349</v>
      </c>
      <c r="G156">
        <f t="shared" si="11"/>
        <v>16.092974681922129</v>
      </c>
    </row>
    <row r="157" spans="1:7" x14ac:dyDescent="0.4">
      <c r="A157">
        <v>155</v>
      </c>
      <c r="C157" s="1">
        <f t="shared" si="9"/>
        <v>5.16615</v>
      </c>
      <c r="D157">
        <v>0.24848742065740001</v>
      </c>
      <c r="E157">
        <f t="shared" si="10"/>
        <v>13.907025318077869</v>
      </c>
      <c r="F157">
        <f t="shared" si="8"/>
        <v>2.576438419610676</v>
      </c>
      <c r="G157">
        <f t="shared" si="11"/>
        <v>16.092974681922129</v>
      </c>
    </row>
    <row r="158" spans="1:7" x14ac:dyDescent="0.4">
      <c r="A158">
        <v>156</v>
      </c>
      <c r="C158" s="1">
        <f t="shared" si="9"/>
        <v>5.1994799999999994</v>
      </c>
      <c r="D158">
        <v>0.24848742065740001</v>
      </c>
      <c r="E158">
        <f t="shared" si="10"/>
        <v>13.907025318077869</v>
      </c>
      <c r="F158">
        <f t="shared" si="8"/>
        <v>2.593060602963003</v>
      </c>
      <c r="G158">
        <f t="shared" si="11"/>
        <v>16.092974681922129</v>
      </c>
    </row>
    <row r="159" spans="1:7" x14ac:dyDescent="0.4">
      <c r="A159">
        <v>157</v>
      </c>
      <c r="C159" s="1">
        <f t="shared" si="9"/>
        <v>5.2328099999999997</v>
      </c>
      <c r="D159">
        <v>0.24848742065740001</v>
      </c>
      <c r="E159">
        <f t="shared" si="10"/>
        <v>13.907025318077869</v>
      </c>
      <c r="F159">
        <f t="shared" si="8"/>
        <v>2.60968278631533</v>
      </c>
      <c r="G159">
        <f t="shared" si="11"/>
        <v>16.092974681922129</v>
      </c>
    </row>
    <row r="160" spans="1:7" x14ac:dyDescent="0.4">
      <c r="A160">
        <v>158</v>
      </c>
      <c r="C160" s="1">
        <f t="shared" si="9"/>
        <v>5.26614</v>
      </c>
      <c r="D160">
        <v>0.24848742065740001</v>
      </c>
      <c r="E160">
        <f t="shared" si="10"/>
        <v>13.907025318077869</v>
      </c>
      <c r="F160">
        <f t="shared" si="8"/>
        <v>2.626304969667657</v>
      </c>
      <c r="G160">
        <f t="shared" si="11"/>
        <v>16.092974681922129</v>
      </c>
    </row>
    <row r="161" spans="1:7" x14ac:dyDescent="0.4">
      <c r="A161">
        <v>159</v>
      </c>
      <c r="C161" s="1">
        <f t="shared" si="9"/>
        <v>5.2994699999999995</v>
      </c>
      <c r="D161">
        <v>0.24848742065740001</v>
      </c>
      <c r="E161">
        <f t="shared" si="10"/>
        <v>13.907025318077869</v>
      </c>
      <c r="F161">
        <f t="shared" si="8"/>
        <v>2.6429271530199836</v>
      </c>
      <c r="G161">
        <f t="shared" si="11"/>
        <v>16.092974681922129</v>
      </c>
    </row>
    <row r="162" spans="1:7" x14ac:dyDescent="0.4">
      <c r="A162">
        <v>160</v>
      </c>
      <c r="C162" s="1">
        <f t="shared" si="9"/>
        <v>5.3327999999999998</v>
      </c>
      <c r="D162">
        <v>0.24848742065740001</v>
      </c>
      <c r="E162">
        <f t="shared" si="10"/>
        <v>13.907025318077869</v>
      </c>
      <c r="F162">
        <f t="shared" si="8"/>
        <v>2.6595493363723106</v>
      </c>
      <c r="G162">
        <f t="shared" si="11"/>
        <v>16.092974681922129</v>
      </c>
    </row>
    <row r="163" spans="1:7" x14ac:dyDescent="0.4">
      <c r="A163">
        <v>161</v>
      </c>
      <c r="C163" s="1">
        <f t="shared" si="9"/>
        <v>5.3661300000000001</v>
      </c>
      <c r="D163">
        <v>0.24848742065740001</v>
      </c>
      <c r="E163">
        <f t="shared" si="10"/>
        <v>13.907025318077869</v>
      </c>
      <c r="F163">
        <f t="shared" si="8"/>
        <v>2.6761715197246381</v>
      </c>
      <c r="G163">
        <f t="shared" si="11"/>
        <v>16.092974681922129</v>
      </c>
    </row>
    <row r="164" spans="1:7" x14ac:dyDescent="0.4">
      <c r="A164">
        <v>162</v>
      </c>
      <c r="C164" s="1">
        <f t="shared" si="9"/>
        <v>5.3994599999999995</v>
      </c>
      <c r="D164">
        <v>0.24848742065740001</v>
      </c>
      <c r="E164">
        <f t="shared" si="10"/>
        <v>13.907025318077869</v>
      </c>
      <c r="F164">
        <f t="shared" si="8"/>
        <v>2.6927937030769646</v>
      </c>
      <c r="G164">
        <f t="shared" si="11"/>
        <v>16.092974681922129</v>
      </c>
    </row>
    <row r="165" spans="1:7" x14ac:dyDescent="0.4">
      <c r="A165">
        <v>163</v>
      </c>
      <c r="C165" s="1">
        <f t="shared" si="9"/>
        <v>5.4327899999999998</v>
      </c>
      <c r="D165">
        <v>0.24848742065740001</v>
      </c>
      <c r="E165">
        <f t="shared" si="10"/>
        <v>13.907025318077869</v>
      </c>
      <c r="F165">
        <f t="shared" si="8"/>
        <v>2.7094158864292917</v>
      </c>
      <c r="G165">
        <f t="shared" si="11"/>
        <v>16.092974681922129</v>
      </c>
    </row>
    <row r="166" spans="1:7" x14ac:dyDescent="0.4">
      <c r="A166">
        <v>164</v>
      </c>
      <c r="C166" s="1">
        <f t="shared" si="9"/>
        <v>5.4661200000000001</v>
      </c>
      <c r="D166">
        <v>0.24848742065740001</v>
      </c>
      <c r="E166">
        <f t="shared" si="10"/>
        <v>13.907025318077869</v>
      </c>
      <c r="F166">
        <f t="shared" si="8"/>
        <v>2.7260380697816187</v>
      </c>
      <c r="G166">
        <f t="shared" si="11"/>
        <v>16.092974681922129</v>
      </c>
    </row>
    <row r="167" spans="1:7" x14ac:dyDescent="0.4">
      <c r="A167">
        <v>165</v>
      </c>
      <c r="C167" s="1">
        <f t="shared" si="9"/>
        <v>5.4994499999999995</v>
      </c>
      <c r="D167">
        <v>0.24848742065740001</v>
      </c>
      <c r="E167">
        <f t="shared" si="10"/>
        <v>13.907025318077869</v>
      </c>
      <c r="F167">
        <f t="shared" si="8"/>
        <v>2.7426602531339452</v>
      </c>
      <c r="G167">
        <f t="shared" si="11"/>
        <v>16.092974681922129</v>
      </c>
    </row>
    <row r="168" spans="1:7" x14ac:dyDescent="0.4">
      <c r="A168">
        <v>166</v>
      </c>
      <c r="C168" s="1">
        <f t="shared" si="9"/>
        <v>5.5327799999999998</v>
      </c>
      <c r="D168">
        <v>0.24848742065740001</v>
      </c>
      <c r="E168">
        <f t="shared" si="10"/>
        <v>13.907025318077869</v>
      </c>
      <c r="F168">
        <f t="shared" si="8"/>
        <v>2.7592824364862722</v>
      </c>
      <c r="G168">
        <f t="shared" si="11"/>
        <v>16.092974681922129</v>
      </c>
    </row>
    <row r="169" spans="1:7" x14ac:dyDescent="0.4">
      <c r="A169">
        <v>167</v>
      </c>
      <c r="C169" s="1">
        <f t="shared" si="9"/>
        <v>5.5661100000000001</v>
      </c>
      <c r="D169">
        <v>0.24848742065740001</v>
      </c>
      <c r="E169">
        <f t="shared" si="10"/>
        <v>13.907025318077869</v>
      </c>
      <c r="F169">
        <f t="shared" si="8"/>
        <v>2.7759046198385997</v>
      </c>
      <c r="G169">
        <f t="shared" si="11"/>
        <v>16.092974681922129</v>
      </c>
    </row>
    <row r="170" spans="1:7" x14ac:dyDescent="0.4">
      <c r="A170">
        <v>168</v>
      </c>
      <c r="C170" s="1">
        <f t="shared" si="9"/>
        <v>5.5994399999999995</v>
      </c>
      <c r="D170">
        <v>0.24848742065740001</v>
      </c>
      <c r="E170">
        <f t="shared" si="10"/>
        <v>13.907025318077869</v>
      </c>
      <c r="F170">
        <f t="shared" si="8"/>
        <v>2.7925268031909263</v>
      </c>
      <c r="G170">
        <f t="shared" si="11"/>
        <v>16.092974681922129</v>
      </c>
    </row>
    <row r="171" spans="1:7" x14ac:dyDescent="0.4">
      <c r="A171">
        <v>169</v>
      </c>
      <c r="C171" s="1">
        <f t="shared" si="9"/>
        <v>5.6327699999999998</v>
      </c>
      <c r="D171">
        <v>0.24848742065740001</v>
      </c>
      <c r="E171">
        <f t="shared" si="10"/>
        <v>13.907025318077869</v>
      </c>
      <c r="F171">
        <f t="shared" si="8"/>
        <v>2.8091489865432533</v>
      </c>
      <c r="G171">
        <f t="shared" si="11"/>
        <v>16.092974681922129</v>
      </c>
    </row>
    <row r="172" spans="1:7" x14ac:dyDescent="0.4">
      <c r="A172">
        <v>170</v>
      </c>
      <c r="C172" s="1">
        <f t="shared" si="9"/>
        <v>5.6661000000000001</v>
      </c>
      <c r="D172">
        <v>0.24848742065740001</v>
      </c>
      <c r="E172">
        <f t="shared" si="10"/>
        <v>13.907025318077869</v>
      </c>
      <c r="F172">
        <f t="shared" si="8"/>
        <v>2.8257711698955803</v>
      </c>
      <c r="G172">
        <f t="shared" si="11"/>
        <v>16.092974681922129</v>
      </c>
    </row>
    <row r="173" spans="1:7" x14ac:dyDescent="0.4">
      <c r="A173">
        <v>171</v>
      </c>
      <c r="C173" s="1">
        <f t="shared" si="9"/>
        <v>5.6994299999999996</v>
      </c>
      <c r="D173">
        <v>0.24848742065740001</v>
      </c>
      <c r="E173">
        <f t="shared" si="10"/>
        <v>13.907025318077869</v>
      </c>
      <c r="F173">
        <f t="shared" si="8"/>
        <v>2.8423933532479069</v>
      </c>
      <c r="G173">
        <f t="shared" si="11"/>
        <v>16.092974681922129</v>
      </c>
    </row>
    <row r="174" spans="1:7" x14ac:dyDescent="0.4">
      <c r="A174">
        <v>172</v>
      </c>
      <c r="C174" s="1">
        <f t="shared" si="9"/>
        <v>5.7327599999999999</v>
      </c>
      <c r="D174">
        <v>0.24848742065740001</v>
      </c>
      <c r="E174">
        <f t="shared" si="10"/>
        <v>13.907025318077869</v>
      </c>
      <c r="F174">
        <f t="shared" si="8"/>
        <v>2.8590155366002343</v>
      </c>
      <c r="G174">
        <f t="shared" si="11"/>
        <v>16.092974681922129</v>
      </c>
    </row>
    <row r="175" spans="1:7" x14ac:dyDescent="0.4">
      <c r="A175">
        <v>173</v>
      </c>
      <c r="C175" s="1">
        <f t="shared" si="9"/>
        <v>5.7660900000000002</v>
      </c>
      <c r="D175">
        <v>0.24848742065740001</v>
      </c>
      <c r="E175">
        <f t="shared" si="10"/>
        <v>13.907025318077869</v>
      </c>
      <c r="F175">
        <f t="shared" si="8"/>
        <v>2.8756377199525613</v>
      </c>
      <c r="G175">
        <f t="shared" si="11"/>
        <v>16.092974681922129</v>
      </c>
    </row>
    <row r="176" spans="1:7" x14ac:dyDescent="0.4">
      <c r="A176">
        <v>174</v>
      </c>
      <c r="C176" s="1">
        <f t="shared" si="9"/>
        <v>5.7994199999999996</v>
      </c>
      <c r="D176">
        <v>0.24848742065740001</v>
      </c>
      <c r="E176">
        <f t="shared" si="10"/>
        <v>13.907025318077869</v>
      </c>
      <c r="F176">
        <f t="shared" si="8"/>
        <v>2.8922599033048879</v>
      </c>
      <c r="G176">
        <f t="shared" si="11"/>
        <v>16.092974681922129</v>
      </c>
    </row>
    <row r="177" spans="1:7" x14ac:dyDescent="0.4">
      <c r="A177">
        <v>175</v>
      </c>
      <c r="C177" s="1">
        <f t="shared" si="9"/>
        <v>5.8327499999999999</v>
      </c>
      <c r="D177">
        <v>0.24848742065740001</v>
      </c>
      <c r="E177">
        <f t="shared" si="10"/>
        <v>13.907025318077869</v>
      </c>
      <c r="F177">
        <f t="shared" si="8"/>
        <v>2.9088820866572149</v>
      </c>
      <c r="G177">
        <f t="shared" si="11"/>
        <v>16.092974681922129</v>
      </c>
    </row>
    <row r="178" spans="1:7" x14ac:dyDescent="0.4">
      <c r="A178">
        <v>176</v>
      </c>
      <c r="C178" s="1">
        <f t="shared" si="9"/>
        <v>5.8660800000000002</v>
      </c>
      <c r="D178">
        <v>0.24848742065740001</v>
      </c>
      <c r="E178">
        <f t="shared" si="10"/>
        <v>13.907025318077869</v>
      </c>
      <c r="F178">
        <f t="shared" si="8"/>
        <v>2.9255042700095419</v>
      </c>
      <c r="G178">
        <f t="shared" si="11"/>
        <v>16.092974681922129</v>
      </c>
    </row>
    <row r="179" spans="1:7" x14ac:dyDescent="0.4">
      <c r="A179">
        <v>177</v>
      </c>
      <c r="C179" s="1">
        <f t="shared" si="9"/>
        <v>5.8994099999999996</v>
      </c>
      <c r="D179">
        <v>0.24848742065740001</v>
      </c>
      <c r="E179">
        <f t="shared" si="10"/>
        <v>13.907025318077869</v>
      </c>
      <c r="F179">
        <f t="shared" si="8"/>
        <v>2.9421264533618685</v>
      </c>
      <c r="G179">
        <f t="shared" si="11"/>
        <v>16.092974681922129</v>
      </c>
    </row>
    <row r="180" spans="1:7" x14ac:dyDescent="0.4">
      <c r="A180">
        <v>178</v>
      </c>
      <c r="C180" s="1">
        <f t="shared" si="9"/>
        <v>5.9327399999999999</v>
      </c>
      <c r="D180">
        <v>0.24848742065740001</v>
      </c>
      <c r="E180">
        <f t="shared" si="10"/>
        <v>13.907025318077869</v>
      </c>
      <c r="F180">
        <f t="shared" si="8"/>
        <v>2.958748636714196</v>
      </c>
      <c r="G180">
        <f t="shared" si="11"/>
        <v>16.092974681922129</v>
      </c>
    </row>
    <row r="181" spans="1:7" x14ac:dyDescent="0.4">
      <c r="A181">
        <v>179</v>
      </c>
      <c r="C181" s="1">
        <f t="shared" si="9"/>
        <v>5.9660699999999993</v>
      </c>
      <c r="D181">
        <v>0.24848742065740001</v>
      </c>
      <c r="E181">
        <f t="shared" si="10"/>
        <v>13.907025318077869</v>
      </c>
      <c r="F181">
        <f t="shared" si="8"/>
        <v>2.9753708200665225</v>
      </c>
      <c r="G181">
        <f t="shared" si="11"/>
        <v>16.092974681922129</v>
      </c>
    </row>
    <row r="182" spans="1:7" x14ac:dyDescent="0.4">
      <c r="A182">
        <v>180</v>
      </c>
      <c r="C182" s="1">
        <f t="shared" si="9"/>
        <v>5.9993999999999996</v>
      </c>
      <c r="D182">
        <v>0.24848742065740001</v>
      </c>
      <c r="E182">
        <f t="shared" si="10"/>
        <v>13.907025318077869</v>
      </c>
      <c r="F182">
        <f t="shared" si="8"/>
        <v>2.9919930034188496</v>
      </c>
      <c r="G182">
        <f t="shared" si="11"/>
        <v>16.092974681922129</v>
      </c>
    </row>
    <row r="183" spans="1:7" x14ac:dyDescent="0.4">
      <c r="A183">
        <v>181</v>
      </c>
      <c r="C183" s="1">
        <f t="shared" si="9"/>
        <v>6.0327299999999999</v>
      </c>
      <c r="D183">
        <v>0.24848742065740001</v>
      </c>
      <c r="E183">
        <f t="shared" si="10"/>
        <v>13.907025318077869</v>
      </c>
      <c r="F183">
        <f t="shared" si="8"/>
        <v>3.0086151867711766</v>
      </c>
      <c r="G183">
        <f t="shared" si="11"/>
        <v>16.092974681922129</v>
      </c>
    </row>
    <row r="184" spans="1:7" x14ac:dyDescent="0.4">
      <c r="A184">
        <v>182</v>
      </c>
      <c r="C184" s="1">
        <f t="shared" si="9"/>
        <v>6.0660599999999993</v>
      </c>
      <c r="D184">
        <v>0.24848742065740001</v>
      </c>
      <c r="E184">
        <f t="shared" si="10"/>
        <v>13.907025318077869</v>
      </c>
      <c r="F184">
        <f t="shared" si="8"/>
        <v>3.0252373701235031</v>
      </c>
      <c r="G184">
        <f t="shared" si="11"/>
        <v>16.092974681922129</v>
      </c>
    </row>
    <row r="185" spans="1:7" x14ac:dyDescent="0.4">
      <c r="A185">
        <v>183</v>
      </c>
      <c r="C185" s="1">
        <f t="shared" si="9"/>
        <v>6.0993899999999996</v>
      </c>
      <c r="D185">
        <v>0.24848742065740001</v>
      </c>
      <c r="E185">
        <f t="shared" si="10"/>
        <v>13.907025318077869</v>
      </c>
      <c r="F185">
        <f t="shared" si="8"/>
        <v>3.0418595534758306</v>
      </c>
      <c r="G185">
        <f t="shared" si="11"/>
        <v>16.092974681922129</v>
      </c>
    </row>
    <row r="186" spans="1:7" x14ac:dyDescent="0.4">
      <c r="A186">
        <v>184</v>
      </c>
      <c r="C186" s="1">
        <f t="shared" si="9"/>
        <v>6.1327199999999999</v>
      </c>
      <c r="D186">
        <v>0.24848742065740001</v>
      </c>
      <c r="E186">
        <f t="shared" si="10"/>
        <v>13.907025318077869</v>
      </c>
      <c r="F186">
        <f t="shared" si="8"/>
        <v>3.0584817368281576</v>
      </c>
      <c r="G186">
        <f t="shared" si="11"/>
        <v>16.092974681922129</v>
      </c>
    </row>
    <row r="187" spans="1:7" x14ac:dyDescent="0.4">
      <c r="A187">
        <v>185</v>
      </c>
      <c r="C187" s="1">
        <f t="shared" si="9"/>
        <v>6.1660499999999994</v>
      </c>
      <c r="D187">
        <v>0.24848742065740001</v>
      </c>
      <c r="E187">
        <f t="shared" si="10"/>
        <v>13.907025318077869</v>
      </c>
      <c r="F187">
        <f t="shared" si="8"/>
        <v>3.0751039201804842</v>
      </c>
      <c r="G187">
        <f t="shared" si="11"/>
        <v>16.092974681922129</v>
      </c>
    </row>
    <row r="188" spans="1:7" x14ac:dyDescent="0.4">
      <c r="A188">
        <v>186</v>
      </c>
      <c r="C188" s="1">
        <f t="shared" si="9"/>
        <v>6.1993799999999997</v>
      </c>
      <c r="D188">
        <v>0.24848742065740001</v>
      </c>
      <c r="E188">
        <f t="shared" si="10"/>
        <v>13.907025318077869</v>
      </c>
      <c r="F188">
        <f t="shared" si="8"/>
        <v>3.0917261035328112</v>
      </c>
      <c r="G188">
        <f t="shared" si="11"/>
        <v>16.092974681922129</v>
      </c>
    </row>
    <row r="189" spans="1:7" x14ac:dyDescent="0.4">
      <c r="A189">
        <v>187</v>
      </c>
      <c r="C189" s="1">
        <f t="shared" si="9"/>
        <v>6.23271</v>
      </c>
      <c r="D189">
        <v>0.24848742065740001</v>
      </c>
      <c r="E189">
        <f t="shared" si="10"/>
        <v>13.907025318077869</v>
      </c>
      <c r="F189">
        <f t="shared" si="8"/>
        <v>3.1083482868851382</v>
      </c>
      <c r="G189">
        <f t="shared" si="11"/>
        <v>16.092974681922129</v>
      </c>
    </row>
    <row r="190" spans="1:7" x14ac:dyDescent="0.4">
      <c r="A190">
        <v>188</v>
      </c>
      <c r="C190" s="1">
        <f t="shared" si="9"/>
        <v>6.2660399999999994</v>
      </c>
      <c r="D190">
        <v>0.24848742065740001</v>
      </c>
      <c r="E190">
        <f t="shared" si="10"/>
        <v>13.907025318077869</v>
      </c>
      <c r="F190">
        <f t="shared" si="8"/>
        <v>3.1249704702374652</v>
      </c>
      <c r="G190">
        <f t="shared" si="11"/>
        <v>16.092974681922129</v>
      </c>
    </row>
    <row r="191" spans="1:7" x14ac:dyDescent="0.4">
      <c r="A191">
        <v>189</v>
      </c>
      <c r="C191" s="1">
        <f t="shared" si="9"/>
        <v>6.2993699999999997</v>
      </c>
      <c r="D191">
        <v>0.24848742065740001</v>
      </c>
      <c r="E191">
        <f t="shared" si="10"/>
        <v>13.907025318077869</v>
      </c>
      <c r="F191">
        <f t="shared" si="8"/>
        <v>3.1415926535897922</v>
      </c>
      <c r="G191">
        <f t="shared" si="11"/>
        <v>16.092974681922129</v>
      </c>
    </row>
    <row r="192" spans="1:7" x14ac:dyDescent="0.4">
      <c r="A192">
        <v>190</v>
      </c>
      <c r="C192" s="1">
        <f t="shared" si="9"/>
        <v>6.3327</v>
      </c>
      <c r="D192">
        <v>0.24848742065740001</v>
      </c>
      <c r="E192">
        <f t="shared" si="10"/>
        <v>13.907025318077869</v>
      </c>
      <c r="F192">
        <f t="shared" si="8"/>
        <v>3.1582148369421192</v>
      </c>
      <c r="G192">
        <f t="shared" si="11"/>
        <v>16.092974681922129</v>
      </c>
    </row>
    <row r="193" spans="1:7" x14ac:dyDescent="0.4">
      <c r="A193">
        <v>191</v>
      </c>
      <c r="C193" s="1">
        <f t="shared" si="9"/>
        <v>6.3660299999999994</v>
      </c>
      <c r="D193">
        <v>0.24848742065740001</v>
      </c>
      <c r="E193">
        <f t="shared" si="10"/>
        <v>13.907025318077869</v>
      </c>
      <c r="F193">
        <f t="shared" si="8"/>
        <v>3.1748370202944458</v>
      </c>
      <c r="G193">
        <f t="shared" si="11"/>
        <v>16.092974681922129</v>
      </c>
    </row>
    <row r="194" spans="1:7" x14ac:dyDescent="0.4">
      <c r="A194">
        <v>192</v>
      </c>
      <c r="B194" t="s">
        <v>29</v>
      </c>
      <c r="C194" s="1">
        <f t="shared" si="9"/>
        <v>6.3993599999999997</v>
      </c>
      <c r="D194">
        <v>0.24848742065740001</v>
      </c>
      <c r="E194">
        <f t="shared" si="10"/>
        <v>13.907025318077869</v>
      </c>
      <c r="F194">
        <f t="shared" si="8"/>
        <v>3.1914592036467728</v>
      </c>
      <c r="G194">
        <f t="shared" si="11"/>
        <v>16.092974681922129</v>
      </c>
    </row>
    <row r="195" spans="1:7" x14ac:dyDescent="0.4">
      <c r="A195">
        <v>193</v>
      </c>
      <c r="C195" s="1">
        <f t="shared" si="9"/>
        <v>6.43269</v>
      </c>
      <c r="D195">
        <v>0.24848742065740001</v>
      </c>
      <c r="E195">
        <f t="shared" si="10"/>
        <v>13.907025318077869</v>
      </c>
      <c r="F195">
        <f t="shared" ref="F195:F258" si="12">0.498715372107019*C195</f>
        <v>3.2080813869990998</v>
      </c>
      <c r="G195">
        <f t="shared" si="11"/>
        <v>16.092974681922129</v>
      </c>
    </row>
    <row r="196" spans="1:7" x14ac:dyDescent="0.4">
      <c r="A196">
        <v>194</v>
      </c>
      <c r="C196" s="1">
        <f t="shared" ref="C196:C259" si="13">A196*0.03333</f>
        <v>6.4660199999999994</v>
      </c>
      <c r="D196">
        <v>0.24848742065740001</v>
      </c>
      <c r="E196">
        <f t="shared" ref="E196:E259" si="14">15*SIN(PI()/2-D196+ASIN(2*COS(D196)/3))/COS(D196)</f>
        <v>13.907025318077869</v>
      </c>
      <c r="F196">
        <f t="shared" si="12"/>
        <v>3.2247035703514269</v>
      </c>
      <c r="G196">
        <f t="shared" ref="G196:G259" si="15">30-E196</f>
        <v>16.092974681922129</v>
      </c>
    </row>
    <row r="197" spans="1:7" x14ac:dyDescent="0.4">
      <c r="A197">
        <v>195</v>
      </c>
      <c r="C197" s="1">
        <f t="shared" si="13"/>
        <v>6.4993499999999997</v>
      </c>
      <c r="D197">
        <v>0.24848742065740001</v>
      </c>
      <c r="E197">
        <f t="shared" si="14"/>
        <v>13.907025318077869</v>
      </c>
      <c r="F197">
        <f t="shared" si="12"/>
        <v>3.2413257537037539</v>
      </c>
      <c r="G197">
        <f t="shared" si="15"/>
        <v>16.092974681922129</v>
      </c>
    </row>
    <row r="198" spans="1:7" x14ac:dyDescent="0.4">
      <c r="A198">
        <v>196</v>
      </c>
      <c r="C198" s="1">
        <f t="shared" si="13"/>
        <v>6.53268</v>
      </c>
      <c r="D198">
        <v>0.24848742065740001</v>
      </c>
      <c r="E198">
        <f t="shared" si="14"/>
        <v>13.907025318077869</v>
      </c>
      <c r="F198">
        <f t="shared" si="12"/>
        <v>3.2579479370560809</v>
      </c>
      <c r="G198">
        <f t="shared" si="15"/>
        <v>16.092974681922129</v>
      </c>
    </row>
    <row r="199" spans="1:7" x14ac:dyDescent="0.4">
      <c r="A199">
        <v>197</v>
      </c>
      <c r="C199" s="1">
        <f t="shared" si="13"/>
        <v>6.5660099999999995</v>
      </c>
      <c r="D199">
        <v>0.24848742065740001</v>
      </c>
      <c r="E199">
        <f t="shared" si="14"/>
        <v>13.907025318077869</v>
      </c>
      <c r="F199">
        <f t="shared" si="12"/>
        <v>3.2745701204084074</v>
      </c>
      <c r="G199">
        <f t="shared" si="15"/>
        <v>16.092974681922129</v>
      </c>
    </row>
    <row r="200" spans="1:7" x14ac:dyDescent="0.4">
      <c r="A200">
        <v>198</v>
      </c>
      <c r="C200" s="1">
        <f t="shared" si="13"/>
        <v>6.5993399999999998</v>
      </c>
      <c r="D200">
        <v>0.24848742065740001</v>
      </c>
      <c r="E200">
        <f t="shared" si="14"/>
        <v>13.907025318077869</v>
      </c>
      <c r="F200">
        <f t="shared" si="12"/>
        <v>3.2911923037607345</v>
      </c>
      <c r="G200">
        <f t="shared" si="15"/>
        <v>16.092974681922129</v>
      </c>
    </row>
    <row r="201" spans="1:7" x14ac:dyDescent="0.4">
      <c r="A201">
        <v>199</v>
      </c>
      <c r="C201" s="1">
        <f t="shared" si="13"/>
        <v>6.6326700000000001</v>
      </c>
      <c r="D201">
        <v>0.24848742065740001</v>
      </c>
      <c r="E201">
        <f t="shared" si="14"/>
        <v>13.907025318077869</v>
      </c>
      <c r="F201">
        <f t="shared" si="12"/>
        <v>3.3078144871130619</v>
      </c>
      <c r="G201">
        <f t="shared" si="15"/>
        <v>16.092974681922129</v>
      </c>
    </row>
    <row r="202" spans="1:7" x14ac:dyDescent="0.4">
      <c r="A202">
        <v>200</v>
      </c>
      <c r="C202" s="1">
        <f t="shared" si="13"/>
        <v>6.6659999999999995</v>
      </c>
      <c r="D202">
        <v>0.24848742065740001</v>
      </c>
      <c r="E202">
        <f t="shared" si="14"/>
        <v>13.907025318077869</v>
      </c>
      <c r="F202">
        <f t="shared" si="12"/>
        <v>3.3244366704653885</v>
      </c>
      <c r="G202">
        <f t="shared" si="15"/>
        <v>16.092974681922129</v>
      </c>
    </row>
    <row r="203" spans="1:7" x14ac:dyDescent="0.4">
      <c r="A203">
        <v>201</v>
      </c>
      <c r="C203" s="1">
        <f t="shared" si="13"/>
        <v>6.6993299999999998</v>
      </c>
      <c r="D203">
        <v>0.24848742065740001</v>
      </c>
      <c r="E203">
        <f t="shared" si="14"/>
        <v>13.907025318077869</v>
      </c>
      <c r="F203">
        <f t="shared" si="12"/>
        <v>3.3410588538177155</v>
      </c>
      <c r="G203">
        <f t="shared" si="15"/>
        <v>16.092974681922129</v>
      </c>
    </row>
    <row r="204" spans="1:7" x14ac:dyDescent="0.4">
      <c r="A204">
        <v>202</v>
      </c>
      <c r="C204" s="1">
        <f t="shared" si="13"/>
        <v>6.7326600000000001</v>
      </c>
      <c r="D204">
        <v>0.24848742065740001</v>
      </c>
      <c r="E204">
        <f t="shared" si="14"/>
        <v>13.907025318077869</v>
      </c>
      <c r="F204">
        <f t="shared" si="12"/>
        <v>3.3576810371700425</v>
      </c>
      <c r="G204">
        <f t="shared" si="15"/>
        <v>16.092974681922129</v>
      </c>
    </row>
    <row r="205" spans="1:7" x14ac:dyDescent="0.4">
      <c r="A205">
        <v>203</v>
      </c>
      <c r="C205" s="1">
        <f t="shared" si="13"/>
        <v>6.7659899999999995</v>
      </c>
      <c r="D205">
        <v>0.24848742065740001</v>
      </c>
      <c r="E205">
        <f t="shared" si="14"/>
        <v>13.907025318077869</v>
      </c>
      <c r="F205">
        <f t="shared" si="12"/>
        <v>3.3743032205223691</v>
      </c>
      <c r="G205">
        <f t="shared" si="15"/>
        <v>16.092974681922129</v>
      </c>
    </row>
    <row r="206" spans="1:7" x14ac:dyDescent="0.4">
      <c r="A206">
        <v>204</v>
      </c>
      <c r="C206" s="1">
        <f t="shared" si="13"/>
        <v>6.7993199999999998</v>
      </c>
      <c r="D206">
        <v>0.24848742065740001</v>
      </c>
      <c r="E206">
        <f t="shared" si="14"/>
        <v>13.907025318077869</v>
      </c>
      <c r="F206">
        <f t="shared" si="12"/>
        <v>3.3909254038746961</v>
      </c>
      <c r="G206">
        <f t="shared" si="15"/>
        <v>16.092974681922129</v>
      </c>
    </row>
    <row r="207" spans="1:7" x14ac:dyDescent="0.4">
      <c r="A207">
        <v>205</v>
      </c>
      <c r="C207" s="1">
        <f t="shared" si="13"/>
        <v>6.8326500000000001</v>
      </c>
      <c r="D207">
        <v>0.24848742065740001</v>
      </c>
      <c r="E207">
        <f t="shared" si="14"/>
        <v>13.907025318077869</v>
      </c>
      <c r="F207">
        <f t="shared" si="12"/>
        <v>3.4075475872270236</v>
      </c>
      <c r="G207">
        <f t="shared" si="15"/>
        <v>16.092974681922129</v>
      </c>
    </row>
    <row r="208" spans="1:7" x14ac:dyDescent="0.4">
      <c r="A208">
        <v>206</v>
      </c>
      <c r="C208" s="1">
        <f t="shared" si="13"/>
        <v>6.8659799999999995</v>
      </c>
      <c r="D208">
        <v>0.24848742065740001</v>
      </c>
      <c r="E208">
        <f t="shared" si="14"/>
        <v>13.907025318077869</v>
      </c>
      <c r="F208">
        <f t="shared" si="12"/>
        <v>3.4241697705793501</v>
      </c>
      <c r="G208">
        <f t="shared" si="15"/>
        <v>16.092974681922129</v>
      </c>
    </row>
    <row r="209" spans="1:7" x14ac:dyDescent="0.4">
      <c r="A209">
        <v>207</v>
      </c>
      <c r="C209" s="1">
        <f t="shared" si="13"/>
        <v>6.8993099999999998</v>
      </c>
      <c r="D209">
        <v>0.24848742065740001</v>
      </c>
      <c r="E209">
        <f t="shared" si="14"/>
        <v>13.907025318077869</v>
      </c>
      <c r="F209">
        <f t="shared" si="12"/>
        <v>3.4407919539316771</v>
      </c>
      <c r="G209">
        <f t="shared" si="15"/>
        <v>16.092974681922129</v>
      </c>
    </row>
    <row r="210" spans="1:7" x14ac:dyDescent="0.4">
      <c r="A210">
        <v>208</v>
      </c>
      <c r="C210" s="1">
        <f t="shared" si="13"/>
        <v>6.9326399999999992</v>
      </c>
      <c r="D210">
        <v>0.24848742065740001</v>
      </c>
      <c r="E210">
        <f t="shared" si="14"/>
        <v>13.907025318077869</v>
      </c>
      <c r="F210">
        <f t="shared" si="12"/>
        <v>3.4574141372840037</v>
      </c>
      <c r="G210">
        <f t="shared" si="15"/>
        <v>16.092974681922129</v>
      </c>
    </row>
    <row r="211" spans="1:7" x14ac:dyDescent="0.4">
      <c r="A211">
        <v>209</v>
      </c>
      <c r="C211" s="1">
        <f t="shared" si="13"/>
        <v>6.9659699999999996</v>
      </c>
      <c r="D211">
        <v>0.24848742065740001</v>
      </c>
      <c r="E211">
        <f t="shared" si="14"/>
        <v>13.907025318077869</v>
      </c>
      <c r="F211">
        <f t="shared" si="12"/>
        <v>3.4740363206363307</v>
      </c>
      <c r="G211">
        <f t="shared" si="15"/>
        <v>16.092974681922129</v>
      </c>
    </row>
    <row r="212" spans="1:7" x14ac:dyDescent="0.4">
      <c r="A212">
        <v>210</v>
      </c>
      <c r="C212" s="1">
        <f t="shared" si="13"/>
        <v>6.9992999999999999</v>
      </c>
      <c r="D212">
        <v>0.24848742065740001</v>
      </c>
      <c r="E212">
        <f t="shared" si="14"/>
        <v>13.907025318077869</v>
      </c>
      <c r="F212">
        <f t="shared" si="12"/>
        <v>3.4906585039886582</v>
      </c>
      <c r="G212">
        <f t="shared" si="15"/>
        <v>16.092974681922129</v>
      </c>
    </row>
    <row r="213" spans="1:7" x14ac:dyDescent="0.4">
      <c r="A213">
        <v>211</v>
      </c>
      <c r="C213" s="1">
        <f t="shared" si="13"/>
        <v>7.0326299999999993</v>
      </c>
      <c r="D213">
        <v>0.24848742065740001</v>
      </c>
      <c r="E213">
        <f t="shared" si="14"/>
        <v>13.907025318077869</v>
      </c>
      <c r="F213">
        <f t="shared" si="12"/>
        <v>3.5072806873409847</v>
      </c>
      <c r="G213">
        <f t="shared" si="15"/>
        <v>16.092974681922129</v>
      </c>
    </row>
    <row r="214" spans="1:7" x14ac:dyDescent="0.4">
      <c r="A214">
        <v>212</v>
      </c>
      <c r="C214" s="1">
        <f t="shared" si="13"/>
        <v>7.0659599999999996</v>
      </c>
      <c r="D214">
        <v>0.24848742065740001</v>
      </c>
      <c r="E214">
        <f t="shared" si="14"/>
        <v>13.907025318077869</v>
      </c>
      <c r="F214">
        <f t="shared" si="12"/>
        <v>3.5239028706933118</v>
      </c>
      <c r="G214">
        <f t="shared" si="15"/>
        <v>16.092974681922129</v>
      </c>
    </row>
    <row r="215" spans="1:7" x14ac:dyDescent="0.4">
      <c r="A215">
        <v>213</v>
      </c>
      <c r="C215" s="1">
        <f t="shared" si="13"/>
        <v>7.0992899999999999</v>
      </c>
      <c r="D215">
        <v>0.24848742065740001</v>
      </c>
      <c r="E215">
        <f t="shared" si="14"/>
        <v>13.907025318077869</v>
      </c>
      <c r="F215">
        <f t="shared" si="12"/>
        <v>3.5405250540456388</v>
      </c>
      <c r="G215">
        <f t="shared" si="15"/>
        <v>16.092974681922129</v>
      </c>
    </row>
    <row r="216" spans="1:7" x14ac:dyDescent="0.4">
      <c r="A216">
        <v>214</v>
      </c>
      <c r="C216" s="1">
        <f t="shared" si="13"/>
        <v>7.1326199999999993</v>
      </c>
      <c r="D216">
        <v>0.24848742065740001</v>
      </c>
      <c r="E216">
        <f t="shared" si="14"/>
        <v>13.907025318077869</v>
      </c>
      <c r="F216">
        <f t="shared" si="12"/>
        <v>3.5571472373979653</v>
      </c>
      <c r="G216">
        <f t="shared" si="15"/>
        <v>16.092974681922129</v>
      </c>
    </row>
    <row r="217" spans="1:7" x14ac:dyDescent="0.4">
      <c r="A217">
        <v>215</v>
      </c>
      <c r="C217" s="1">
        <f t="shared" si="13"/>
        <v>7.1659499999999996</v>
      </c>
      <c r="D217">
        <v>0.24848742065740001</v>
      </c>
      <c r="E217">
        <f t="shared" si="14"/>
        <v>13.907025318077869</v>
      </c>
      <c r="F217">
        <f t="shared" si="12"/>
        <v>3.5737694207502924</v>
      </c>
      <c r="G217">
        <f t="shared" si="15"/>
        <v>16.092974681922129</v>
      </c>
    </row>
    <row r="218" spans="1:7" x14ac:dyDescent="0.4">
      <c r="A218">
        <v>216</v>
      </c>
      <c r="C218" s="1">
        <f t="shared" si="13"/>
        <v>7.1992799999999999</v>
      </c>
      <c r="D218">
        <v>0.24848742065740001</v>
      </c>
      <c r="E218">
        <f t="shared" si="14"/>
        <v>13.907025318077869</v>
      </c>
      <c r="F218">
        <f t="shared" si="12"/>
        <v>3.5903916041026198</v>
      </c>
      <c r="G218">
        <f t="shared" si="15"/>
        <v>16.092974681922129</v>
      </c>
    </row>
    <row r="219" spans="1:7" x14ac:dyDescent="0.4">
      <c r="A219">
        <v>217</v>
      </c>
      <c r="C219" s="1">
        <f t="shared" si="13"/>
        <v>7.2326099999999993</v>
      </c>
      <c r="D219">
        <v>0.24848742065740001</v>
      </c>
      <c r="E219">
        <f t="shared" si="14"/>
        <v>13.907025318077869</v>
      </c>
      <c r="F219">
        <f t="shared" si="12"/>
        <v>3.6070137874549464</v>
      </c>
      <c r="G219">
        <f t="shared" si="15"/>
        <v>16.092974681922129</v>
      </c>
    </row>
    <row r="220" spans="1:7" x14ac:dyDescent="0.4">
      <c r="A220">
        <v>218</v>
      </c>
      <c r="C220" s="1">
        <f t="shared" si="13"/>
        <v>7.2659399999999996</v>
      </c>
      <c r="D220">
        <v>0.24848742065740001</v>
      </c>
      <c r="E220">
        <f t="shared" si="14"/>
        <v>13.907025318077869</v>
      </c>
      <c r="F220">
        <f t="shared" si="12"/>
        <v>3.6236359708072734</v>
      </c>
      <c r="G220">
        <f t="shared" si="15"/>
        <v>16.092974681922129</v>
      </c>
    </row>
    <row r="221" spans="1:7" x14ac:dyDescent="0.4">
      <c r="A221">
        <v>219</v>
      </c>
      <c r="C221" s="1">
        <f t="shared" si="13"/>
        <v>7.2992699999999999</v>
      </c>
      <c r="D221">
        <v>0.24848742065740001</v>
      </c>
      <c r="E221">
        <f t="shared" si="14"/>
        <v>13.907025318077869</v>
      </c>
      <c r="F221">
        <f t="shared" si="12"/>
        <v>3.6402581541596004</v>
      </c>
      <c r="G221">
        <f t="shared" si="15"/>
        <v>16.092974681922129</v>
      </c>
    </row>
    <row r="222" spans="1:7" x14ac:dyDescent="0.4">
      <c r="A222">
        <v>220</v>
      </c>
      <c r="C222" s="1">
        <f t="shared" si="13"/>
        <v>7.3325999999999993</v>
      </c>
      <c r="D222">
        <v>0.24848742065740001</v>
      </c>
      <c r="E222">
        <f t="shared" si="14"/>
        <v>13.907025318077869</v>
      </c>
      <c r="F222">
        <f t="shared" si="12"/>
        <v>3.656880337511927</v>
      </c>
      <c r="G222">
        <f t="shared" si="15"/>
        <v>16.092974681922129</v>
      </c>
    </row>
    <row r="223" spans="1:7" x14ac:dyDescent="0.4">
      <c r="A223">
        <v>221</v>
      </c>
      <c r="C223" s="1">
        <f t="shared" si="13"/>
        <v>7.3659299999999996</v>
      </c>
      <c r="D223">
        <v>0.24848742065740001</v>
      </c>
      <c r="E223">
        <f t="shared" si="14"/>
        <v>13.907025318077869</v>
      </c>
      <c r="F223">
        <f t="shared" si="12"/>
        <v>3.6735025208642544</v>
      </c>
      <c r="G223">
        <f t="shared" si="15"/>
        <v>16.092974681922129</v>
      </c>
    </row>
    <row r="224" spans="1:7" x14ac:dyDescent="0.4">
      <c r="A224">
        <v>222</v>
      </c>
      <c r="C224" s="1">
        <f t="shared" si="13"/>
        <v>7.3992599999999999</v>
      </c>
      <c r="D224">
        <v>0.24848742065740001</v>
      </c>
      <c r="E224">
        <f t="shared" si="14"/>
        <v>13.907025318077869</v>
      </c>
      <c r="F224">
        <f t="shared" si="12"/>
        <v>3.6901247042165815</v>
      </c>
      <c r="G224">
        <f t="shared" si="15"/>
        <v>16.092974681922129</v>
      </c>
    </row>
    <row r="225" spans="1:7" x14ac:dyDescent="0.4">
      <c r="A225">
        <v>223</v>
      </c>
      <c r="C225" s="1">
        <f t="shared" si="13"/>
        <v>7.4325899999999994</v>
      </c>
      <c r="D225">
        <v>0.24848742065740001</v>
      </c>
      <c r="E225">
        <f t="shared" si="14"/>
        <v>13.907025318077869</v>
      </c>
      <c r="F225">
        <f t="shared" si="12"/>
        <v>3.706746887568908</v>
      </c>
      <c r="G225">
        <f t="shared" si="15"/>
        <v>16.092974681922129</v>
      </c>
    </row>
    <row r="226" spans="1:7" x14ac:dyDescent="0.4">
      <c r="A226">
        <v>224</v>
      </c>
      <c r="C226" s="1">
        <f t="shared" si="13"/>
        <v>7.4659199999999997</v>
      </c>
      <c r="D226">
        <v>0.24848742065740001</v>
      </c>
      <c r="E226">
        <f t="shared" si="14"/>
        <v>13.907025318077869</v>
      </c>
      <c r="F226">
        <f t="shared" si="12"/>
        <v>3.723369070921235</v>
      </c>
      <c r="G226">
        <f t="shared" si="15"/>
        <v>16.092974681922129</v>
      </c>
    </row>
    <row r="227" spans="1:7" x14ac:dyDescent="0.4">
      <c r="A227">
        <v>225</v>
      </c>
      <c r="C227" s="1">
        <f t="shared" si="13"/>
        <v>7.49925</v>
      </c>
      <c r="D227">
        <v>0.24848742065740001</v>
      </c>
      <c r="E227">
        <f t="shared" si="14"/>
        <v>13.907025318077869</v>
      </c>
      <c r="F227">
        <f t="shared" si="12"/>
        <v>3.739991254273562</v>
      </c>
      <c r="G227">
        <f t="shared" si="15"/>
        <v>16.092974681922129</v>
      </c>
    </row>
    <row r="228" spans="1:7" x14ac:dyDescent="0.4">
      <c r="A228">
        <v>226</v>
      </c>
      <c r="C228" s="1">
        <f t="shared" si="13"/>
        <v>7.5325799999999994</v>
      </c>
      <c r="D228">
        <v>0.24848742065740001</v>
      </c>
      <c r="E228">
        <f t="shared" si="14"/>
        <v>13.907025318077869</v>
      </c>
      <c r="F228">
        <f t="shared" si="12"/>
        <v>3.7566134376258886</v>
      </c>
      <c r="G228">
        <f t="shared" si="15"/>
        <v>16.092974681922129</v>
      </c>
    </row>
    <row r="229" spans="1:7" x14ac:dyDescent="0.4">
      <c r="A229">
        <v>227</v>
      </c>
      <c r="C229" s="1">
        <f t="shared" si="13"/>
        <v>7.5659099999999997</v>
      </c>
      <c r="D229">
        <v>0.24848742065740001</v>
      </c>
      <c r="E229">
        <f t="shared" si="14"/>
        <v>13.907025318077869</v>
      </c>
      <c r="F229">
        <f t="shared" si="12"/>
        <v>3.7732356209782161</v>
      </c>
      <c r="G229">
        <f t="shared" si="15"/>
        <v>16.092974681922129</v>
      </c>
    </row>
    <row r="230" spans="1:7" x14ac:dyDescent="0.4">
      <c r="A230">
        <v>228</v>
      </c>
      <c r="C230" s="1">
        <f t="shared" si="13"/>
        <v>7.59924</v>
      </c>
      <c r="D230">
        <v>0.24848742065740001</v>
      </c>
      <c r="E230">
        <f t="shared" si="14"/>
        <v>13.907025318077869</v>
      </c>
      <c r="F230">
        <f t="shared" si="12"/>
        <v>3.7898578043305431</v>
      </c>
      <c r="G230">
        <f t="shared" si="15"/>
        <v>16.092974681922129</v>
      </c>
    </row>
    <row r="231" spans="1:7" x14ac:dyDescent="0.4">
      <c r="A231">
        <v>229</v>
      </c>
      <c r="C231" s="1">
        <f t="shared" si="13"/>
        <v>7.6325699999999994</v>
      </c>
      <c r="D231">
        <v>0.24848742065740001</v>
      </c>
      <c r="E231">
        <f t="shared" si="14"/>
        <v>13.907025318077869</v>
      </c>
      <c r="F231">
        <f t="shared" si="12"/>
        <v>3.8064799876828697</v>
      </c>
      <c r="G231">
        <f t="shared" si="15"/>
        <v>16.092974681922129</v>
      </c>
    </row>
    <row r="232" spans="1:7" x14ac:dyDescent="0.4">
      <c r="A232">
        <v>230</v>
      </c>
      <c r="C232" s="1">
        <f t="shared" si="13"/>
        <v>7.6658999999999997</v>
      </c>
      <c r="D232">
        <v>0.24848742065740001</v>
      </c>
      <c r="E232">
        <f t="shared" si="14"/>
        <v>13.907025318077869</v>
      </c>
      <c r="F232">
        <f t="shared" si="12"/>
        <v>3.8231021710351967</v>
      </c>
      <c r="G232">
        <f t="shared" si="15"/>
        <v>16.092974681922129</v>
      </c>
    </row>
    <row r="233" spans="1:7" x14ac:dyDescent="0.4">
      <c r="A233">
        <v>231</v>
      </c>
      <c r="C233" s="1">
        <f t="shared" si="13"/>
        <v>7.69923</v>
      </c>
      <c r="D233">
        <v>0.24848742065740001</v>
      </c>
      <c r="E233">
        <f t="shared" si="14"/>
        <v>13.907025318077869</v>
      </c>
      <c r="F233">
        <f t="shared" si="12"/>
        <v>3.8397243543875237</v>
      </c>
      <c r="G233">
        <f t="shared" si="15"/>
        <v>16.092974681922129</v>
      </c>
    </row>
    <row r="234" spans="1:7" x14ac:dyDescent="0.4">
      <c r="A234">
        <v>232</v>
      </c>
      <c r="C234" s="1">
        <f t="shared" si="13"/>
        <v>7.7325599999999994</v>
      </c>
      <c r="D234">
        <v>0.24848742065740001</v>
      </c>
      <c r="E234">
        <f t="shared" si="14"/>
        <v>13.907025318077869</v>
      </c>
      <c r="F234">
        <f t="shared" si="12"/>
        <v>3.8563465377398507</v>
      </c>
      <c r="G234">
        <f t="shared" si="15"/>
        <v>16.092974681922129</v>
      </c>
    </row>
    <row r="235" spans="1:7" x14ac:dyDescent="0.4">
      <c r="A235">
        <v>233</v>
      </c>
      <c r="C235" s="1">
        <f t="shared" si="13"/>
        <v>7.7658899999999997</v>
      </c>
      <c r="D235">
        <v>0.24848742065740001</v>
      </c>
      <c r="E235">
        <f t="shared" si="14"/>
        <v>13.907025318077869</v>
      </c>
      <c r="F235">
        <f t="shared" si="12"/>
        <v>3.8729687210921777</v>
      </c>
      <c r="G235">
        <f t="shared" si="15"/>
        <v>16.092974681922129</v>
      </c>
    </row>
    <row r="236" spans="1:7" x14ac:dyDescent="0.4">
      <c r="A236">
        <v>234</v>
      </c>
      <c r="C236" s="1">
        <f t="shared" si="13"/>
        <v>7.79922</v>
      </c>
      <c r="D236">
        <v>0.24848742065740001</v>
      </c>
      <c r="E236">
        <f t="shared" si="14"/>
        <v>13.907025318077869</v>
      </c>
      <c r="F236">
        <f t="shared" si="12"/>
        <v>3.8895909044445047</v>
      </c>
      <c r="G236">
        <f t="shared" si="15"/>
        <v>16.092974681922129</v>
      </c>
    </row>
    <row r="237" spans="1:7" x14ac:dyDescent="0.4">
      <c r="A237">
        <v>235</v>
      </c>
      <c r="C237" s="1">
        <f t="shared" si="13"/>
        <v>7.8325499999999995</v>
      </c>
      <c r="D237">
        <v>0.24848742065740001</v>
      </c>
      <c r="E237">
        <f t="shared" si="14"/>
        <v>13.907025318077869</v>
      </c>
      <c r="F237">
        <f t="shared" si="12"/>
        <v>3.9062130877968313</v>
      </c>
      <c r="G237">
        <f t="shared" si="15"/>
        <v>16.092974681922129</v>
      </c>
    </row>
    <row r="238" spans="1:7" x14ac:dyDescent="0.4">
      <c r="A238">
        <v>236</v>
      </c>
      <c r="C238" s="1">
        <f t="shared" si="13"/>
        <v>7.8658799999999998</v>
      </c>
      <c r="D238">
        <v>0.24848742065740001</v>
      </c>
      <c r="E238">
        <f t="shared" si="14"/>
        <v>13.907025318077869</v>
      </c>
      <c r="F238">
        <f t="shared" si="12"/>
        <v>3.9228352711491583</v>
      </c>
      <c r="G238">
        <f t="shared" si="15"/>
        <v>16.092974681922129</v>
      </c>
    </row>
    <row r="239" spans="1:7" x14ac:dyDescent="0.4">
      <c r="A239">
        <v>237</v>
      </c>
      <c r="C239" s="1">
        <f t="shared" si="13"/>
        <v>7.8992100000000001</v>
      </c>
      <c r="D239">
        <v>0.24848742065740001</v>
      </c>
      <c r="E239">
        <f t="shared" si="14"/>
        <v>13.907025318077869</v>
      </c>
      <c r="F239">
        <f t="shared" si="12"/>
        <v>3.9394574545014858</v>
      </c>
      <c r="G239">
        <f t="shared" si="15"/>
        <v>16.092974681922129</v>
      </c>
    </row>
    <row r="240" spans="1:7" x14ac:dyDescent="0.4">
      <c r="A240">
        <v>238</v>
      </c>
      <c r="C240" s="1">
        <f t="shared" si="13"/>
        <v>7.9325399999999995</v>
      </c>
      <c r="D240">
        <v>0.24848742065740001</v>
      </c>
      <c r="E240">
        <f t="shared" si="14"/>
        <v>13.907025318077869</v>
      </c>
      <c r="F240">
        <f t="shared" si="12"/>
        <v>3.9560796378538123</v>
      </c>
      <c r="G240">
        <f t="shared" si="15"/>
        <v>16.092974681922129</v>
      </c>
    </row>
    <row r="241" spans="1:7" x14ac:dyDescent="0.4">
      <c r="A241">
        <v>239</v>
      </c>
      <c r="C241" s="1">
        <f t="shared" si="13"/>
        <v>7.9658699999999998</v>
      </c>
      <c r="D241">
        <v>0.24848742065740001</v>
      </c>
      <c r="E241">
        <f t="shared" si="14"/>
        <v>13.907025318077869</v>
      </c>
      <c r="F241">
        <f t="shared" si="12"/>
        <v>3.9727018212061393</v>
      </c>
      <c r="G241">
        <f t="shared" si="15"/>
        <v>16.092974681922129</v>
      </c>
    </row>
    <row r="242" spans="1:7" x14ac:dyDescent="0.4">
      <c r="A242">
        <v>240</v>
      </c>
      <c r="C242" s="1">
        <f t="shared" si="13"/>
        <v>7.9992000000000001</v>
      </c>
      <c r="D242">
        <v>0.24848742065740001</v>
      </c>
      <c r="E242">
        <f t="shared" si="14"/>
        <v>13.907025318077869</v>
      </c>
      <c r="F242">
        <f t="shared" si="12"/>
        <v>3.9893240045584664</v>
      </c>
      <c r="G242">
        <f t="shared" si="15"/>
        <v>16.092974681922129</v>
      </c>
    </row>
    <row r="243" spans="1:7" x14ac:dyDescent="0.4">
      <c r="A243">
        <v>241</v>
      </c>
      <c r="C243" s="1">
        <f t="shared" si="13"/>
        <v>8.0325299999999995</v>
      </c>
      <c r="D243">
        <v>0.24848742065740001</v>
      </c>
      <c r="E243">
        <f t="shared" si="14"/>
        <v>13.907025318077869</v>
      </c>
      <c r="F243">
        <f t="shared" si="12"/>
        <v>4.0059461879107934</v>
      </c>
      <c r="G243">
        <f t="shared" si="15"/>
        <v>16.092974681922129</v>
      </c>
    </row>
    <row r="244" spans="1:7" x14ac:dyDescent="0.4">
      <c r="A244">
        <v>242</v>
      </c>
      <c r="C244" s="1">
        <f t="shared" si="13"/>
        <v>8.0658599999999989</v>
      </c>
      <c r="D244">
        <v>0.24848742065740001</v>
      </c>
      <c r="E244">
        <f t="shared" si="14"/>
        <v>13.907025318077869</v>
      </c>
      <c r="F244">
        <f t="shared" si="12"/>
        <v>4.0225683712631195</v>
      </c>
      <c r="G244">
        <f t="shared" si="15"/>
        <v>16.092974681922129</v>
      </c>
    </row>
    <row r="245" spans="1:7" x14ac:dyDescent="0.4">
      <c r="A245">
        <v>243</v>
      </c>
      <c r="C245" s="1">
        <f t="shared" si="13"/>
        <v>8.0991900000000001</v>
      </c>
      <c r="D245">
        <v>0.24848742065740001</v>
      </c>
      <c r="E245">
        <f t="shared" si="14"/>
        <v>13.907025318077869</v>
      </c>
      <c r="F245">
        <f t="shared" si="12"/>
        <v>4.0391905546154474</v>
      </c>
      <c r="G245">
        <f t="shared" si="15"/>
        <v>16.092974681922129</v>
      </c>
    </row>
    <row r="246" spans="1:7" x14ac:dyDescent="0.4">
      <c r="A246">
        <v>244</v>
      </c>
      <c r="C246" s="1">
        <f t="shared" si="13"/>
        <v>8.1325199999999995</v>
      </c>
      <c r="D246">
        <v>0.24848742065740001</v>
      </c>
      <c r="E246">
        <f t="shared" si="14"/>
        <v>13.907025318077869</v>
      </c>
      <c r="F246">
        <f t="shared" si="12"/>
        <v>4.0558127379677735</v>
      </c>
      <c r="G246">
        <f t="shared" si="15"/>
        <v>16.092974681922129</v>
      </c>
    </row>
    <row r="247" spans="1:7" x14ac:dyDescent="0.4">
      <c r="A247">
        <v>245</v>
      </c>
      <c r="C247" s="1">
        <f t="shared" si="13"/>
        <v>8.1658499999999989</v>
      </c>
      <c r="D247">
        <v>0.24848742065740001</v>
      </c>
      <c r="E247">
        <f t="shared" si="14"/>
        <v>13.907025318077869</v>
      </c>
      <c r="F247">
        <f t="shared" si="12"/>
        <v>4.0724349213201005</v>
      </c>
      <c r="G247">
        <f t="shared" si="15"/>
        <v>16.092974681922129</v>
      </c>
    </row>
    <row r="248" spans="1:7" x14ac:dyDescent="0.4">
      <c r="A248">
        <v>246</v>
      </c>
      <c r="C248" s="1">
        <f t="shared" si="13"/>
        <v>8.1991800000000001</v>
      </c>
      <c r="D248">
        <v>0.24848742065740001</v>
      </c>
      <c r="E248">
        <f t="shared" si="14"/>
        <v>13.907025318077869</v>
      </c>
      <c r="F248">
        <f t="shared" si="12"/>
        <v>4.0890571046724284</v>
      </c>
      <c r="G248">
        <f t="shared" si="15"/>
        <v>16.092974681922129</v>
      </c>
    </row>
    <row r="249" spans="1:7" x14ac:dyDescent="0.4">
      <c r="A249">
        <v>247</v>
      </c>
      <c r="C249" s="1">
        <f t="shared" si="13"/>
        <v>8.2325099999999996</v>
      </c>
      <c r="D249">
        <v>0.24848742065740001</v>
      </c>
      <c r="E249">
        <f t="shared" si="14"/>
        <v>13.907025318077869</v>
      </c>
      <c r="F249">
        <f t="shared" si="12"/>
        <v>4.1056792880247546</v>
      </c>
      <c r="G249">
        <f t="shared" si="15"/>
        <v>16.092974681922129</v>
      </c>
    </row>
    <row r="250" spans="1:7" x14ac:dyDescent="0.4">
      <c r="A250">
        <v>248</v>
      </c>
      <c r="C250" s="1">
        <f t="shared" si="13"/>
        <v>8.265839999999999</v>
      </c>
      <c r="D250">
        <v>0.24848742065740001</v>
      </c>
      <c r="E250">
        <f t="shared" si="14"/>
        <v>13.907025318077869</v>
      </c>
      <c r="F250">
        <f t="shared" si="12"/>
        <v>4.1223014713770816</v>
      </c>
      <c r="G250">
        <f t="shared" si="15"/>
        <v>16.092974681922129</v>
      </c>
    </row>
    <row r="251" spans="1:7" x14ac:dyDescent="0.4">
      <c r="A251">
        <v>249</v>
      </c>
      <c r="C251" s="1">
        <f t="shared" si="13"/>
        <v>8.2991700000000002</v>
      </c>
      <c r="D251">
        <v>0.24848742065740001</v>
      </c>
      <c r="E251">
        <f t="shared" si="14"/>
        <v>13.907025318077869</v>
      </c>
      <c r="F251">
        <f t="shared" si="12"/>
        <v>4.1389236547294086</v>
      </c>
      <c r="G251">
        <f t="shared" si="15"/>
        <v>16.092974681922129</v>
      </c>
    </row>
    <row r="252" spans="1:7" x14ac:dyDescent="0.4">
      <c r="A252">
        <v>250</v>
      </c>
      <c r="C252" s="1">
        <f t="shared" si="13"/>
        <v>8.3324999999999996</v>
      </c>
      <c r="D252">
        <v>0.24848742065740001</v>
      </c>
      <c r="E252">
        <f t="shared" si="14"/>
        <v>13.907025318077869</v>
      </c>
      <c r="F252">
        <f t="shared" si="12"/>
        <v>4.1555458380817356</v>
      </c>
      <c r="G252">
        <f t="shared" si="15"/>
        <v>16.092974681922129</v>
      </c>
    </row>
    <row r="253" spans="1:7" x14ac:dyDescent="0.4">
      <c r="A253">
        <v>251</v>
      </c>
      <c r="C253" s="1">
        <f t="shared" si="13"/>
        <v>8.365829999999999</v>
      </c>
      <c r="D253">
        <v>0.24848742065740001</v>
      </c>
      <c r="E253">
        <f t="shared" si="14"/>
        <v>13.907025318077869</v>
      </c>
      <c r="F253">
        <f t="shared" si="12"/>
        <v>4.1721680214340626</v>
      </c>
      <c r="G253">
        <f t="shared" si="15"/>
        <v>16.092974681922129</v>
      </c>
    </row>
    <row r="254" spans="1:7" x14ac:dyDescent="0.4">
      <c r="A254">
        <v>252</v>
      </c>
      <c r="C254" s="1">
        <f t="shared" si="13"/>
        <v>8.3991600000000002</v>
      </c>
      <c r="D254">
        <v>0.24848742065740001</v>
      </c>
      <c r="E254">
        <f t="shared" si="14"/>
        <v>13.907025318077869</v>
      </c>
      <c r="F254">
        <f t="shared" si="12"/>
        <v>4.1887902047863896</v>
      </c>
      <c r="G254">
        <f t="shared" si="15"/>
        <v>16.092974681922129</v>
      </c>
    </row>
    <row r="255" spans="1:7" x14ac:dyDescent="0.4">
      <c r="A255">
        <v>253</v>
      </c>
      <c r="C255" s="1">
        <f t="shared" si="13"/>
        <v>8.4324899999999996</v>
      </c>
      <c r="D255">
        <v>0.24848742065740001</v>
      </c>
      <c r="E255">
        <f t="shared" si="14"/>
        <v>13.907025318077869</v>
      </c>
      <c r="F255">
        <f t="shared" si="12"/>
        <v>4.2054123881387167</v>
      </c>
      <c r="G255">
        <f t="shared" si="15"/>
        <v>16.092974681922129</v>
      </c>
    </row>
    <row r="256" spans="1:7" x14ac:dyDescent="0.4">
      <c r="A256">
        <v>254</v>
      </c>
      <c r="C256" s="1">
        <f t="shared" si="13"/>
        <v>8.465819999999999</v>
      </c>
      <c r="D256">
        <v>0.24848742065740001</v>
      </c>
      <c r="E256">
        <f t="shared" si="14"/>
        <v>13.907025318077869</v>
      </c>
      <c r="F256">
        <f t="shared" si="12"/>
        <v>4.2220345714910428</v>
      </c>
      <c r="G256">
        <f t="shared" si="15"/>
        <v>16.092974681922129</v>
      </c>
    </row>
    <row r="257" spans="1:7" x14ac:dyDescent="0.4">
      <c r="A257">
        <v>255</v>
      </c>
      <c r="C257" s="1">
        <f t="shared" si="13"/>
        <v>8.4991500000000002</v>
      </c>
      <c r="D257">
        <v>0.24848742065740001</v>
      </c>
      <c r="E257">
        <f t="shared" si="14"/>
        <v>13.907025318077869</v>
      </c>
      <c r="F257">
        <f t="shared" si="12"/>
        <v>4.2386567548433707</v>
      </c>
      <c r="G257">
        <f t="shared" si="15"/>
        <v>16.092974681922129</v>
      </c>
    </row>
    <row r="258" spans="1:7" x14ac:dyDescent="0.4">
      <c r="A258">
        <v>256</v>
      </c>
      <c r="B258" t="s">
        <v>30</v>
      </c>
      <c r="C258" s="1">
        <f t="shared" si="13"/>
        <v>8.5324799999999996</v>
      </c>
      <c r="D258">
        <v>0.24848742065740001</v>
      </c>
      <c r="E258">
        <f t="shared" si="14"/>
        <v>13.907025318077869</v>
      </c>
      <c r="F258">
        <f t="shared" si="12"/>
        <v>4.2552789381956968</v>
      </c>
      <c r="G258">
        <f t="shared" si="15"/>
        <v>16.092974681922129</v>
      </c>
    </row>
    <row r="259" spans="1:7" x14ac:dyDescent="0.4">
      <c r="A259">
        <v>257</v>
      </c>
      <c r="C259" s="1">
        <f t="shared" si="13"/>
        <v>8.565809999999999</v>
      </c>
      <c r="D259">
        <v>0.24848742065740001</v>
      </c>
      <c r="E259">
        <f t="shared" si="14"/>
        <v>13.907025318077869</v>
      </c>
      <c r="F259">
        <f t="shared" ref="F259:F321" si="16">0.498715372107019*C259</f>
        <v>4.2719011215480238</v>
      </c>
      <c r="G259">
        <f t="shared" si="15"/>
        <v>16.092974681922129</v>
      </c>
    </row>
    <row r="260" spans="1:7" x14ac:dyDescent="0.4">
      <c r="A260">
        <v>258</v>
      </c>
      <c r="C260" s="1">
        <f t="shared" ref="C260:C323" si="17">A260*0.03333</f>
        <v>8.5991400000000002</v>
      </c>
      <c r="D260">
        <v>0.24848742065740001</v>
      </c>
      <c r="E260">
        <f t="shared" ref="E260:E323" si="18">15*SIN(PI()/2-D260+ASIN(2*COS(D260)/3))/COS(D260)</f>
        <v>13.907025318077869</v>
      </c>
      <c r="F260">
        <f t="shared" si="16"/>
        <v>4.2885233049003517</v>
      </c>
      <c r="G260">
        <f t="shared" ref="G260:G323" si="19">30-E260</f>
        <v>16.092974681922129</v>
      </c>
    </row>
    <row r="261" spans="1:7" x14ac:dyDescent="0.4">
      <c r="A261">
        <v>259</v>
      </c>
      <c r="C261" s="1">
        <f t="shared" si="17"/>
        <v>8.6324699999999996</v>
      </c>
      <c r="D261">
        <v>0.24848742065740001</v>
      </c>
      <c r="E261">
        <f t="shared" si="18"/>
        <v>13.907025318077869</v>
      </c>
      <c r="F261">
        <f t="shared" si="16"/>
        <v>4.3051454882526778</v>
      </c>
      <c r="G261">
        <f t="shared" si="19"/>
        <v>16.092974681922129</v>
      </c>
    </row>
    <row r="262" spans="1:7" x14ac:dyDescent="0.4">
      <c r="A262">
        <v>260</v>
      </c>
      <c r="C262" s="1">
        <f t="shared" si="17"/>
        <v>8.6657999999999991</v>
      </c>
      <c r="D262">
        <v>0.24848742065740001</v>
      </c>
      <c r="E262">
        <f t="shared" si="18"/>
        <v>13.907025318077869</v>
      </c>
      <c r="F262">
        <f t="shared" si="16"/>
        <v>4.3217676716050049</v>
      </c>
      <c r="G262">
        <f t="shared" si="19"/>
        <v>16.092974681922129</v>
      </c>
    </row>
    <row r="263" spans="1:7" x14ac:dyDescent="0.4">
      <c r="A263">
        <v>261</v>
      </c>
      <c r="C263" s="1">
        <f t="shared" si="17"/>
        <v>8.6991300000000003</v>
      </c>
      <c r="D263">
        <v>0.24848742065740001</v>
      </c>
      <c r="E263">
        <f t="shared" si="18"/>
        <v>13.907025318077869</v>
      </c>
      <c r="F263">
        <f t="shared" si="16"/>
        <v>4.3383898549573319</v>
      </c>
      <c r="G263">
        <f t="shared" si="19"/>
        <v>16.092974681922129</v>
      </c>
    </row>
    <row r="264" spans="1:7" x14ac:dyDescent="0.4">
      <c r="A264">
        <v>262</v>
      </c>
      <c r="C264" s="1">
        <f t="shared" si="17"/>
        <v>8.7324599999999997</v>
      </c>
      <c r="D264">
        <v>0.24848742065740001</v>
      </c>
      <c r="E264">
        <f t="shared" si="18"/>
        <v>13.907025318077869</v>
      </c>
      <c r="F264">
        <f t="shared" si="16"/>
        <v>4.3550120383096589</v>
      </c>
      <c r="G264">
        <f t="shared" si="19"/>
        <v>16.092974681922129</v>
      </c>
    </row>
    <row r="265" spans="1:7" x14ac:dyDescent="0.4">
      <c r="A265">
        <v>263</v>
      </c>
      <c r="C265" s="1">
        <f t="shared" si="17"/>
        <v>8.7657899999999991</v>
      </c>
      <c r="D265">
        <v>0.24848742065740001</v>
      </c>
      <c r="E265">
        <f t="shared" si="18"/>
        <v>13.907025318077869</v>
      </c>
      <c r="F265">
        <f t="shared" si="16"/>
        <v>4.3716342216619859</v>
      </c>
      <c r="G265">
        <f t="shared" si="19"/>
        <v>16.092974681922129</v>
      </c>
    </row>
    <row r="266" spans="1:7" x14ac:dyDescent="0.4">
      <c r="A266">
        <v>264</v>
      </c>
      <c r="C266" s="1">
        <f t="shared" si="17"/>
        <v>8.7991200000000003</v>
      </c>
      <c r="D266">
        <v>0.24848742065740001</v>
      </c>
      <c r="E266">
        <f t="shared" si="18"/>
        <v>13.907025318077869</v>
      </c>
      <c r="F266">
        <f t="shared" si="16"/>
        <v>4.3882564050143129</v>
      </c>
      <c r="G266">
        <f t="shared" si="19"/>
        <v>16.092974681922129</v>
      </c>
    </row>
    <row r="267" spans="1:7" x14ac:dyDescent="0.4">
      <c r="A267">
        <v>265</v>
      </c>
      <c r="C267" s="1">
        <f t="shared" si="17"/>
        <v>8.8324499999999997</v>
      </c>
      <c r="D267">
        <v>0.24848742065740001</v>
      </c>
      <c r="E267">
        <f t="shared" si="18"/>
        <v>13.907025318077869</v>
      </c>
      <c r="F267">
        <f t="shared" si="16"/>
        <v>4.4048785883666399</v>
      </c>
      <c r="G267">
        <f t="shared" si="19"/>
        <v>16.092974681922129</v>
      </c>
    </row>
    <row r="268" spans="1:7" x14ac:dyDescent="0.4">
      <c r="A268">
        <v>266</v>
      </c>
      <c r="C268" s="1">
        <f t="shared" si="17"/>
        <v>8.8657799999999991</v>
      </c>
      <c r="D268">
        <v>0.24848742065740001</v>
      </c>
      <c r="E268">
        <f t="shared" si="18"/>
        <v>13.907025318077869</v>
      </c>
      <c r="F268">
        <f t="shared" si="16"/>
        <v>4.421500771718966</v>
      </c>
      <c r="G268">
        <f t="shared" si="19"/>
        <v>16.092974681922129</v>
      </c>
    </row>
    <row r="269" spans="1:7" x14ac:dyDescent="0.4">
      <c r="A269">
        <v>267</v>
      </c>
      <c r="C269" s="1">
        <f t="shared" si="17"/>
        <v>8.8991100000000003</v>
      </c>
      <c r="D269">
        <v>0.24848742065740001</v>
      </c>
      <c r="E269">
        <f t="shared" si="18"/>
        <v>13.907025318077869</v>
      </c>
      <c r="F269">
        <f t="shared" si="16"/>
        <v>4.438122955071294</v>
      </c>
      <c r="G269">
        <f t="shared" si="19"/>
        <v>16.092974681922129</v>
      </c>
    </row>
    <row r="270" spans="1:7" x14ac:dyDescent="0.4">
      <c r="A270">
        <v>268</v>
      </c>
      <c r="C270" s="1">
        <f t="shared" si="17"/>
        <v>8.9324399999999997</v>
      </c>
      <c r="D270">
        <v>0.24848742065740001</v>
      </c>
      <c r="E270">
        <f t="shared" si="18"/>
        <v>13.907025318077869</v>
      </c>
      <c r="F270">
        <f t="shared" si="16"/>
        <v>4.454745138423621</v>
      </c>
      <c r="G270">
        <f t="shared" si="19"/>
        <v>16.092974681922129</v>
      </c>
    </row>
    <row r="271" spans="1:7" x14ac:dyDescent="0.4">
      <c r="A271">
        <v>269</v>
      </c>
      <c r="C271" s="1">
        <f t="shared" si="17"/>
        <v>8.9657699999999991</v>
      </c>
      <c r="D271">
        <v>0.24848742065740001</v>
      </c>
      <c r="E271">
        <f t="shared" si="18"/>
        <v>13.907025318077869</v>
      </c>
      <c r="F271">
        <f t="shared" si="16"/>
        <v>4.4713673217759471</v>
      </c>
      <c r="G271">
        <f t="shared" si="19"/>
        <v>16.092974681922129</v>
      </c>
    </row>
    <row r="272" spans="1:7" x14ac:dyDescent="0.4">
      <c r="A272">
        <v>270</v>
      </c>
      <c r="C272" s="1">
        <f t="shared" si="17"/>
        <v>8.9991000000000003</v>
      </c>
      <c r="D272">
        <v>0.24848742065740001</v>
      </c>
      <c r="E272">
        <f t="shared" si="18"/>
        <v>13.907025318077869</v>
      </c>
      <c r="F272">
        <f t="shared" si="16"/>
        <v>4.487989505128275</v>
      </c>
      <c r="G272">
        <f t="shared" si="19"/>
        <v>16.092974681922129</v>
      </c>
    </row>
    <row r="273" spans="1:7" x14ac:dyDescent="0.4">
      <c r="A273">
        <v>271</v>
      </c>
      <c r="C273" s="1">
        <f t="shared" si="17"/>
        <v>9.0324299999999997</v>
      </c>
      <c r="D273">
        <v>0.24848742065740001</v>
      </c>
      <c r="E273">
        <f t="shared" si="18"/>
        <v>13.907025318077869</v>
      </c>
      <c r="F273">
        <f t="shared" si="16"/>
        <v>4.5046116884806011</v>
      </c>
      <c r="G273">
        <f t="shared" si="19"/>
        <v>16.092974681922129</v>
      </c>
    </row>
    <row r="274" spans="1:7" x14ac:dyDescent="0.4">
      <c r="A274">
        <v>272</v>
      </c>
      <c r="C274" s="1">
        <f t="shared" si="17"/>
        <v>9.0657599999999992</v>
      </c>
      <c r="D274">
        <v>0.24848742065740001</v>
      </c>
      <c r="E274">
        <f t="shared" si="18"/>
        <v>13.907025318077869</v>
      </c>
      <c r="F274">
        <f t="shared" si="16"/>
        <v>4.5212338718329281</v>
      </c>
      <c r="G274">
        <f t="shared" si="19"/>
        <v>16.092974681922129</v>
      </c>
    </row>
    <row r="275" spans="1:7" x14ac:dyDescent="0.4">
      <c r="A275">
        <v>273</v>
      </c>
      <c r="C275" s="1">
        <f t="shared" si="17"/>
        <v>9.0990900000000003</v>
      </c>
      <c r="D275">
        <v>0.24848742065740001</v>
      </c>
      <c r="E275">
        <f t="shared" si="18"/>
        <v>13.907025318077869</v>
      </c>
      <c r="F275">
        <f t="shared" si="16"/>
        <v>4.537856055185256</v>
      </c>
      <c r="G275">
        <f t="shared" si="19"/>
        <v>16.092974681922129</v>
      </c>
    </row>
    <row r="276" spans="1:7" x14ac:dyDescent="0.4">
      <c r="A276">
        <v>274</v>
      </c>
      <c r="C276" s="1">
        <f t="shared" si="17"/>
        <v>9.1324199999999998</v>
      </c>
      <c r="D276">
        <v>0.24848742065740001</v>
      </c>
      <c r="E276">
        <f t="shared" si="18"/>
        <v>13.907025318077869</v>
      </c>
      <c r="F276">
        <f t="shared" si="16"/>
        <v>4.5544782385375822</v>
      </c>
      <c r="G276">
        <f t="shared" si="19"/>
        <v>16.092974681922129</v>
      </c>
    </row>
    <row r="277" spans="1:7" x14ac:dyDescent="0.4">
      <c r="A277">
        <v>275</v>
      </c>
      <c r="C277" s="1">
        <f t="shared" si="17"/>
        <v>9.1657499999999992</v>
      </c>
      <c r="D277">
        <v>0.24848742065740001</v>
      </c>
      <c r="E277">
        <f t="shared" si="18"/>
        <v>13.907025318077869</v>
      </c>
      <c r="F277">
        <f t="shared" si="16"/>
        <v>4.5711004218899092</v>
      </c>
      <c r="G277">
        <f t="shared" si="19"/>
        <v>16.092974681922129</v>
      </c>
    </row>
    <row r="278" spans="1:7" x14ac:dyDescent="0.4">
      <c r="A278">
        <v>276</v>
      </c>
      <c r="C278" s="1">
        <f t="shared" si="17"/>
        <v>9.1990800000000004</v>
      </c>
      <c r="D278">
        <v>0.24848742065740001</v>
      </c>
      <c r="E278">
        <f t="shared" si="18"/>
        <v>13.907025318077869</v>
      </c>
      <c r="F278">
        <f t="shared" si="16"/>
        <v>4.5877226052422362</v>
      </c>
      <c r="G278">
        <f t="shared" si="19"/>
        <v>16.092974681922129</v>
      </c>
    </row>
    <row r="279" spans="1:7" x14ac:dyDescent="0.4">
      <c r="A279">
        <v>277</v>
      </c>
      <c r="C279" s="1">
        <f t="shared" si="17"/>
        <v>9.2324099999999998</v>
      </c>
      <c r="D279">
        <v>0.24848742065740001</v>
      </c>
      <c r="E279">
        <f t="shared" si="18"/>
        <v>13.907025318077869</v>
      </c>
      <c r="F279">
        <f t="shared" si="16"/>
        <v>4.6043447885945632</v>
      </c>
      <c r="G279">
        <f t="shared" si="19"/>
        <v>16.092974681922129</v>
      </c>
    </row>
    <row r="280" spans="1:7" x14ac:dyDescent="0.4">
      <c r="A280">
        <v>278</v>
      </c>
      <c r="C280" s="1">
        <f t="shared" si="17"/>
        <v>9.2657399999999992</v>
      </c>
      <c r="D280">
        <v>0.24848742065740001</v>
      </c>
      <c r="E280">
        <f t="shared" si="18"/>
        <v>13.907025318077869</v>
      </c>
      <c r="F280">
        <f t="shared" si="16"/>
        <v>4.6209669719468902</v>
      </c>
      <c r="G280">
        <f t="shared" si="19"/>
        <v>16.092974681922129</v>
      </c>
    </row>
    <row r="281" spans="1:7" x14ac:dyDescent="0.4">
      <c r="A281">
        <v>279</v>
      </c>
      <c r="C281" s="1">
        <f t="shared" si="17"/>
        <v>9.2990700000000004</v>
      </c>
      <c r="D281">
        <v>0.24848742065740001</v>
      </c>
      <c r="E281">
        <f t="shared" si="18"/>
        <v>13.907025318077869</v>
      </c>
      <c r="F281">
        <f t="shared" si="16"/>
        <v>4.6375891552992172</v>
      </c>
      <c r="G281">
        <f t="shared" si="19"/>
        <v>16.092974681922129</v>
      </c>
    </row>
    <row r="282" spans="1:7" x14ac:dyDescent="0.4">
      <c r="A282">
        <v>280</v>
      </c>
      <c r="C282" s="1">
        <f t="shared" si="17"/>
        <v>9.3323999999999998</v>
      </c>
      <c r="D282">
        <v>0.24848742065740001</v>
      </c>
      <c r="E282">
        <f t="shared" si="18"/>
        <v>13.907025318077869</v>
      </c>
      <c r="F282">
        <f t="shared" si="16"/>
        <v>4.6542113386515442</v>
      </c>
      <c r="G282">
        <f t="shared" si="19"/>
        <v>16.092974681922129</v>
      </c>
    </row>
    <row r="283" spans="1:7" x14ac:dyDescent="0.4">
      <c r="A283">
        <v>281</v>
      </c>
      <c r="C283" s="1">
        <f t="shared" si="17"/>
        <v>9.3657299999999992</v>
      </c>
      <c r="D283">
        <v>0.24848742065740001</v>
      </c>
      <c r="E283">
        <f t="shared" si="18"/>
        <v>13.907025318077869</v>
      </c>
      <c r="F283">
        <f t="shared" si="16"/>
        <v>4.6708335220038704</v>
      </c>
      <c r="G283">
        <f t="shared" si="19"/>
        <v>16.092974681922129</v>
      </c>
    </row>
    <row r="284" spans="1:7" x14ac:dyDescent="0.4">
      <c r="A284">
        <v>282</v>
      </c>
      <c r="C284" s="1">
        <f t="shared" si="17"/>
        <v>9.3990600000000004</v>
      </c>
      <c r="D284">
        <v>0.24848742065740001</v>
      </c>
      <c r="E284">
        <f t="shared" si="18"/>
        <v>13.907025318077869</v>
      </c>
      <c r="F284">
        <f t="shared" si="16"/>
        <v>4.6874557053561983</v>
      </c>
      <c r="G284">
        <f t="shared" si="19"/>
        <v>16.092974681922129</v>
      </c>
    </row>
    <row r="285" spans="1:7" x14ac:dyDescent="0.4">
      <c r="A285">
        <v>283</v>
      </c>
      <c r="C285" s="1">
        <f t="shared" si="17"/>
        <v>9.4323899999999998</v>
      </c>
      <c r="D285">
        <v>0.24848742065740001</v>
      </c>
      <c r="E285">
        <f t="shared" si="18"/>
        <v>13.907025318077869</v>
      </c>
      <c r="F285">
        <f t="shared" si="16"/>
        <v>4.7040778887085244</v>
      </c>
      <c r="G285">
        <f t="shared" si="19"/>
        <v>16.092974681922129</v>
      </c>
    </row>
    <row r="286" spans="1:7" x14ac:dyDescent="0.4">
      <c r="A286">
        <v>284</v>
      </c>
      <c r="C286" s="1">
        <f t="shared" si="17"/>
        <v>9.4657199999999992</v>
      </c>
      <c r="D286">
        <v>0.24848742065740001</v>
      </c>
      <c r="E286">
        <f t="shared" si="18"/>
        <v>13.907025318077869</v>
      </c>
      <c r="F286">
        <f t="shared" si="16"/>
        <v>4.7207000720608514</v>
      </c>
      <c r="G286">
        <f t="shared" si="19"/>
        <v>16.092974681922129</v>
      </c>
    </row>
    <row r="287" spans="1:7" x14ac:dyDescent="0.4">
      <c r="A287">
        <v>285</v>
      </c>
      <c r="C287" s="1">
        <f t="shared" si="17"/>
        <v>9.4990500000000004</v>
      </c>
      <c r="D287">
        <v>0.24848742065740001</v>
      </c>
      <c r="E287">
        <f t="shared" si="18"/>
        <v>13.907025318077869</v>
      </c>
      <c r="F287">
        <f t="shared" si="16"/>
        <v>4.7373222554131793</v>
      </c>
      <c r="G287">
        <f t="shared" si="19"/>
        <v>16.092974681922129</v>
      </c>
    </row>
    <row r="288" spans="1:7" x14ac:dyDescent="0.4">
      <c r="A288">
        <v>286</v>
      </c>
      <c r="C288" s="1">
        <f t="shared" si="17"/>
        <v>9.5323799999999999</v>
      </c>
      <c r="D288">
        <v>0.24848742065740001</v>
      </c>
      <c r="E288">
        <f t="shared" si="18"/>
        <v>13.907025318077869</v>
      </c>
      <c r="F288">
        <f t="shared" si="16"/>
        <v>4.7539444387655054</v>
      </c>
      <c r="G288">
        <f t="shared" si="19"/>
        <v>16.092974681922129</v>
      </c>
    </row>
    <row r="289" spans="1:7" x14ac:dyDescent="0.4">
      <c r="A289">
        <v>287</v>
      </c>
      <c r="C289" s="1">
        <f t="shared" si="17"/>
        <v>9.5657099999999993</v>
      </c>
      <c r="D289">
        <v>0.24848742065740001</v>
      </c>
      <c r="E289">
        <f t="shared" si="18"/>
        <v>13.907025318077869</v>
      </c>
      <c r="F289">
        <f t="shared" si="16"/>
        <v>4.7705666221178324</v>
      </c>
      <c r="G289">
        <f t="shared" si="19"/>
        <v>16.092974681922129</v>
      </c>
    </row>
    <row r="290" spans="1:7" x14ac:dyDescent="0.4">
      <c r="A290">
        <v>288</v>
      </c>
      <c r="C290" s="1">
        <f t="shared" si="17"/>
        <v>9.5990399999999987</v>
      </c>
      <c r="D290">
        <v>0.24848742065740001</v>
      </c>
      <c r="E290">
        <f t="shared" si="18"/>
        <v>13.907025318077869</v>
      </c>
      <c r="F290">
        <f t="shared" si="16"/>
        <v>4.7871888054701586</v>
      </c>
      <c r="G290">
        <f t="shared" si="19"/>
        <v>16.092974681922129</v>
      </c>
    </row>
    <row r="291" spans="1:7" x14ac:dyDescent="0.4">
      <c r="A291">
        <v>289</v>
      </c>
      <c r="C291" s="1">
        <f t="shared" si="17"/>
        <v>9.6323699999999999</v>
      </c>
      <c r="D291">
        <v>0.24848742065740001</v>
      </c>
      <c r="E291">
        <f t="shared" si="18"/>
        <v>13.907025318077869</v>
      </c>
      <c r="F291">
        <f t="shared" si="16"/>
        <v>4.8038109888224865</v>
      </c>
      <c r="G291">
        <f t="shared" si="19"/>
        <v>16.092974681922129</v>
      </c>
    </row>
    <row r="292" spans="1:7" x14ac:dyDescent="0.4">
      <c r="A292">
        <v>290</v>
      </c>
      <c r="C292" s="1">
        <f t="shared" si="17"/>
        <v>9.6656999999999993</v>
      </c>
      <c r="D292">
        <v>0.24848742065740001</v>
      </c>
      <c r="E292">
        <f t="shared" si="18"/>
        <v>13.907025318077869</v>
      </c>
      <c r="F292">
        <f t="shared" si="16"/>
        <v>4.8204331721748135</v>
      </c>
      <c r="G292">
        <f t="shared" si="19"/>
        <v>16.092974681922129</v>
      </c>
    </row>
    <row r="293" spans="1:7" x14ac:dyDescent="0.4">
      <c r="A293">
        <v>291</v>
      </c>
      <c r="C293" s="1">
        <f t="shared" si="17"/>
        <v>9.6990299999999987</v>
      </c>
      <c r="D293">
        <v>0.24848742065740001</v>
      </c>
      <c r="E293">
        <f t="shared" si="18"/>
        <v>13.907025318077869</v>
      </c>
      <c r="F293">
        <f t="shared" si="16"/>
        <v>4.8370553555271396</v>
      </c>
      <c r="G293">
        <f t="shared" si="19"/>
        <v>16.092974681922129</v>
      </c>
    </row>
    <row r="294" spans="1:7" x14ac:dyDescent="0.4">
      <c r="A294">
        <v>292</v>
      </c>
      <c r="C294" s="1">
        <f t="shared" si="17"/>
        <v>9.7323599999999999</v>
      </c>
      <c r="D294">
        <v>0.24848742065740001</v>
      </c>
      <c r="E294">
        <f t="shared" si="18"/>
        <v>13.907025318077869</v>
      </c>
      <c r="F294">
        <f t="shared" si="16"/>
        <v>4.8536775388794675</v>
      </c>
      <c r="G294">
        <f t="shared" si="19"/>
        <v>16.092974681922129</v>
      </c>
    </row>
    <row r="295" spans="1:7" x14ac:dyDescent="0.4">
      <c r="A295">
        <v>293</v>
      </c>
      <c r="C295" s="1">
        <f t="shared" si="17"/>
        <v>9.7656899999999993</v>
      </c>
      <c r="D295">
        <v>0.24848742065740001</v>
      </c>
      <c r="E295">
        <f t="shared" si="18"/>
        <v>13.907025318077869</v>
      </c>
      <c r="F295">
        <f t="shared" si="16"/>
        <v>4.8702997222317936</v>
      </c>
      <c r="G295">
        <f t="shared" si="19"/>
        <v>16.092974681922129</v>
      </c>
    </row>
    <row r="296" spans="1:7" x14ac:dyDescent="0.4">
      <c r="A296">
        <v>294</v>
      </c>
      <c r="C296" s="1">
        <f t="shared" si="17"/>
        <v>9.7990199999999987</v>
      </c>
      <c r="D296">
        <v>0.24848742065740001</v>
      </c>
      <c r="E296">
        <f t="shared" si="18"/>
        <v>13.907025318077869</v>
      </c>
      <c r="F296">
        <f t="shared" si="16"/>
        <v>4.8869219055841207</v>
      </c>
      <c r="G296">
        <f t="shared" si="19"/>
        <v>16.092974681922129</v>
      </c>
    </row>
    <row r="297" spans="1:7" x14ac:dyDescent="0.4">
      <c r="A297">
        <v>295</v>
      </c>
      <c r="C297" s="1">
        <f t="shared" si="17"/>
        <v>9.8323499999999999</v>
      </c>
      <c r="D297">
        <v>0.24848742065740001</v>
      </c>
      <c r="E297">
        <f t="shared" si="18"/>
        <v>13.907025318077869</v>
      </c>
      <c r="F297">
        <f t="shared" si="16"/>
        <v>4.9035440889364486</v>
      </c>
      <c r="G297">
        <f t="shared" si="19"/>
        <v>16.092974681922129</v>
      </c>
    </row>
    <row r="298" spans="1:7" x14ac:dyDescent="0.4">
      <c r="A298">
        <v>296</v>
      </c>
      <c r="C298" s="1">
        <f t="shared" si="17"/>
        <v>9.8656799999999993</v>
      </c>
      <c r="D298">
        <v>0.24848742065740001</v>
      </c>
      <c r="E298">
        <f t="shared" si="18"/>
        <v>13.907025318077869</v>
      </c>
      <c r="F298">
        <f t="shared" si="16"/>
        <v>4.9201662722887747</v>
      </c>
      <c r="G298">
        <f t="shared" si="19"/>
        <v>16.092974681922129</v>
      </c>
    </row>
    <row r="299" spans="1:7" x14ac:dyDescent="0.4">
      <c r="A299">
        <v>297</v>
      </c>
      <c r="C299" s="1">
        <f t="shared" si="17"/>
        <v>9.8990099999999988</v>
      </c>
      <c r="D299">
        <v>0.24848742065740001</v>
      </c>
      <c r="E299">
        <f t="shared" si="18"/>
        <v>13.907025318077869</v>
      </c>
      <c r="F299">
        <f t="shared" si="16"/>
        <v>4.9367884556411017</v>
      </c>
      <c r="G299">
        <f t="shared" si="19"/>
        <v>16.092974681922129</v>
      </c>
    </row>
    <row r="300" spans="1:7" x14ac:dyDescent="0.4">
      <c r="A300">
        <v>298</v>
      </c>
      <c r="C300" s="1">
        <f t="shared" si="17"/>
        <v>9.9323399999999999</v>
      </c>
      <c r="D300">
        <v>0.24848742065740001</v>
      </c>
      <c r="E300">
        <f t="shared" si="18"/>
        <v>13.907025318077869</v>
      </c>
      <c r="F300">
        <f t="shared" si="16"/>
        <v>4.9534106389934287</v>
      </c>
      <c r="G300">
        <f t="shared" si="19"/>
        <v>16.092974681922129</v>
      </c>
    </row>
    <row r="301" spans="1:7" x14ac:dyDescent="0.4">
      <c r="A301">
        <v>299</v>
      </c>
      <c r="C301" s="1">
        <f t="shared" si="17"/>
        <v>9.9656699999999994</v>
      </c>
      <c r="D301">
        <v>0.24848742065740001</v>
      </c>
      <c r="E301">
        <f t="shared" si="18"/>
        <v>13.907025318077869</v>
      </c>
      <c r="F301">
        <f t="shared" si="16"/>
        <v>4.9700328223457557</v>
      </c>
      <c r="G301">
        <f t="shared" si="19"/>
        <v>16.092974681922129</v>
      </c>
    </row>
    <row r="302" spans="1:7" x14ac:dyDescent="0.4">
      <c r="A302">
        <v>300</v>
      </c>
      <c r="C302" s="1">
        <f t="shared" si="17"/>
        <v>9.9989999999999988</v>
      </c>
      <c r="D302">
        <v>0.24848742065740001</v>
      </c>
      <c r="E302">
        <f t="shared" si="18"/>
        <v>13.907025318077869</v>
      </c>
      <c r="F302">
        <f t="shared" si="16"/>
        <v>4.9866550056980827</v>
      </c>
      <c r="G302">
        <f t="shared" si="19"/>
        <v>16.092974681922129</v>
      </c>
    </row>
    <row r="303" spans="1:7" x14ac:dyDescent="0.4">
      <c r="A303">
        <v>301</v>
      </c>
      <c r="C303" s="1">
        <f t="shared" si="17"/>
        <v>10.03233</v>
      </c>
      <c r="D303">
        <v>0.24848742065740001</v>
      </c>
      <c r="E303">
        <f t="shared" si="18"/>
        <v>13.907025318077869</v>
      </c>
      <c r="F303">
        <f t="shared" si="16"/>
        <v>5.0032771890504097</v>
      </c>
      <c r="G303">
        <f t="shared" si="19"/>
        <v>16.092974681922129</v>
      </c>
    </row>
    <row r="304" spans="1:7" x14ac:dyDescent="0.4">
      <c r="A304">
        <v>302</v>
      </c>
      <c r="C304" s="1">
        <f t="shared" si="17"/>
        <v>10.065659999999999</v>
      </c>
      <c r="D304">
        <v>0.24848742065740001</v>
      </c>
      <c r="E304">
        <f t="shared" si="18"/>
        <v>13.907025318077869</v>
      </c>
      <c r="F304">
        <f t="shared" si="16"/>
        <v>5.0198993724027368</v>
      </c>
      <c r="G304">
        <f t="shared" si="19"/>
        <v>16.092974681922129</v>
      </c>
    </row>
    <row r="305" spans="1:7" x14ac:dyDescent="0.4">
      <c r="A305">
        <v>303</v>
      </c>
      <c r="C305" s="1">
        <f t="shared" si="17"/>
        <v>10.098989999999999</v>
      </c>
      <c r="D305">
        <v>0.24848742065740001</v>
      </c>
      <c r="E305">
        <f t="shared" si="18"/>
        <v>13.907025318077869</v>
      </c>
      <c r="F305">
        <f t="shared" si="16"/>
        <v>5.0365215557550629</v>
      </c>
      <c r="G305">
        <f t="shared" si="19"/>
        <v>16.092974681922129</v>
      </c>
    </row>
    <row r="306" spans="1:7" x14ac:dyDescent="0.4">
      <c r="A306">
        <v>304</v>
      </c>
      <c r="C306" s="1">
        <f t="shared" si="17"/>
        <v>10.13232</v>
      </c>
      <c r="D306">
        <v>0.24848742065740001</v>
      </c>
      <c r="E306">
        <f t="shared" si="18"/>
        <v>13.907025318077869</v>
      </c>
      <c r="F306">
        <f t="shared" si="16"/>
        <v>5.0531437391073908</v>
      </c>
      <c r="G306">
        <f t="shared" si="19"/>
        <v>16.092974681922129</v>
      </c>
    </row>
    <row r="307" spans="1:7" x14ac:dyDescent="0.4">
      <c r="A307">
        <v>305</v>
      </c>
      <c r="C307" s="1">
        <f t="shared" si="17"/>
        <v>10.165649999999999</v>
      </c>
      <c r="D307">
        <v>0.24848742065740001</v>
      </c>
      <c r="E307">
        <f t="shared" si="18"/>
        <v>13.907025318077869</v>
      </c>
      <c r="F307">
        <f t="shared" si="16"/>
        <v>5.0697659224597169</v>
      </c>
      <c r="G307">
        <f t="shared" si="19"/>
        <v>16.092974681922129</v>
      </c>
    </row>
    <row r="308" spans="1:7" x14ac:dyDescent="0.4">
      <c r="A308">
        <v>306</v>
      </c>
      <c r="C308" s="1">
        <f t="shared" si="17"/>
        <v>10.198979999999999</v>
      </c>
      <c r="D308">
        <v>0.24848742065740001</v>
      </c>
      <c r="E308">
        <f t="shared" si="18"/>
        <v>13.907025318077869</v>
      </c>
      <c r="F308">
        <f t="shared" si="16"/>
        <v>5.0863881058120439</v>
      </c>
      <c r="G308">
        <f t="shared" si="19"/>
        <v>16.092974681922129</v>
      </c>
    </row>
    <row r="309" spans="1:7" x14ac:dyDescent="0.4">
      <c r="A309">
        <v>307</v>
      </c>
      <c r="C309" s="1">
        <f t="shared" si="17"/>
        <v>10.23231</v>
      </c>
      <c r="D309">
        <v>0.24848742065740001</v>
      </c>
      <c r="E309">
        <f t="shared" si="18"/>
        <v>13.907025318077869</v>
      </c>
      <c r="F309">
        <f t="shared" si="16"/>
        <v>5.1030102891643718</v>
      </c>
      <c r="G309">
        <f t="shared" si="19"/>
        <v>16.092974681922129</v>
      </c>
    </row>
    <row r="310" spans="1:7" x14ac:dyDescent="0.4">
      <c r="A310">
        <v>308</v>
      </c>
      <c r="C310" s="1">
        <f t="shared" si="17"/>
        <v>10.265639999999999</v>
      </c>
      <c r="D310">
        <v>0.24848742065740001</v>
      </c>
      <c r="E310">
        <f t="shared" si="18"/>
        <v>13.907025318077869</v>
      </c>
      <c r="F310">
        <f t="shared" si="16"/>
        <v>5.119632472516698</v>
      </c>
      <c r="G310">
        <f t="shared" si="19"/>
        <v>16.092974681922129</v>
      </c>
    </row>
    <row r="311" spans="1:7" x14ac:dyDescent="0.4">
      <c r="A311">
        <v>309</v>
      </c>
      <c r="C311" s="1">
        <f t="shared" si="17"/>
        <v>10.298969999999999</v>
      </c>
      <c r="D311">
        <v>0.24848742065740001</v>
      </c>
      <c r="E311">
        <f t="shared" si="18"/>
        <v>13.907025318077869</v>
      </c>
      <c r="F311">
        <f t="shared" si="16"/>
        <v>5.136254655869025</v>
      </c>
      <c r="G311">
        <f t="shared" si="19"/>
        <v>16.092974681922129</v>
      </c>
    </row>
    <row r="312" spans="1:7" x14ac:dyDescent="0.4">
      <c r="A312">
        <v>310</v>
      </c>
      <c r="C312" s="1">
        <f t="shared" si="17"/>
        <v>10.3323</v>
      </c>
      <c r="D312">
        <v>0.24848742065740001</v>
      </c>
      <c r="E312">
        <f t="shared" si="18"/>
        <v>13.907025318077869</v>
      </c>
      <c r="F312">
        <f t="shared" si="16"/>
        <v>5.152876839221352</v>
      </c>
      <c r="G312">
        <f t="shared" si="19"/>
        <v>16.092974681922129</v>
      </c>
    </row>
    <row r="313" spans="1:7" x14ac:dyDescent="0.4">
      <c r="A313">
        <v>311</v>
      </c>
      <c r="C313" s="1">
        <f t="shared" si="17"/>
        <v>10.365629999999999</v>
      </c>
      <c r="D313">
        <v>0.24848742065740001</v>
      </c>
      <c r="E313">
        <f t="shared" si="18"/>
        <v>13.907025318077869</v>
      </c>
      <c r="F313">
        <f t="shared" si="16"/>
        <v>5.169499022573679</v>
      </c>
      <c r="G313">
        <f t="shared" si="19"/>
        <v>16.092974681922129</v>
      </c>
    </row>
    <row r="314" spans="1:7" x14ac:dyDescent="0.4">
      <c r="A314">
        <v>312</v>
      </c>
      <c r="C314" s="1">
        <f t="shared" si="17"/>
        <v>10.398959999999999</v>
      </c>
      <c r="D314">
        <v>0.24848742065740001</v>
      </c>
      <c r="E314">
        <f t="shared" si="18"/>
        <v>13.907025318077869</v>
      </c>
      <c r="F314">
        <f t="shared" si="16"/>
        <v>5.186121205926006</v>
      </c>
      <c r="G314">
        <f t="shared" si="19"/>
        <v>16.092974681922129</v>
      </c>
    </row>
    <row r="315" spans="1:7" x14ac:dyDescent="0.4">
      <c r="A315">
        <v>313</v>
      </c>
      <c r="C315" s="1">
        <f t="shared" si="17"/>
        <v>10.43229</v>
      </c>
      <c r="D315">
        <v>0.24848742065740001</v>
      </c>
      <c r="E315">
        <f t="shared" si="18"/>
        <v>13.907025318077869</v>
      </c>
      <c r="F315">
        <f t="shared" si="16"/>
        <v>5.202743389278333</v>
      </c>
      <c r="G315">
        <f t="shared" si="19"/>
        <v>16.092974681922129</v>
      </c>
    </row>
    <row r="316" spans="1:7" x14ac:dyDescent="0.4">
      <c r="A316">
        <v>314</v>
      </c>
      <c r="C316" s="1">
        <f t="shared" si="17"/>
        <v>10.465619999999999</v>
      </c>
      <c r="D316">
        <v>0.24848742065740001</v>
      </c>
      <c r="E316">
        <f t="shared" si="18"/>
        <v>13.907025318077869</v>
      </c>
      <c r="F316">
        <f t="shared" si="16"/>
        <v>5.21936557263066</v>
      </c>
      <c r="G316">
        <f t="shared" si="19"/>
        <v>16.092974681922129</v>
      </c>
    </row>
    <row r="317" spans="1:7" x14ac:dyDescent="0.4">
      <c r="A317">
        <v>315</v>
      </c>
      <c r="C317" s="1">
        <f t="shared" si="17"/>
        <v>10.498949999999999</v>
      </c>
      <c r="D317">
        <v>0.24848742065740001</v>
      </c>
      <c r="E317">
        <f t="shared" si="18"/>
        <v>13.907025318077869</v>
      </c>
      <c r="F317">
        <f t="shared" si="16"/>
        <v>5.2359877559829862</v>
      </c>
      <c r="G317">
        <f t="shared" si="19"/>
        <v>16.092974681922129</v>
      </c>
    </row>
    <row r="318" spans="1:7" x14ac:dyDescent="0.4">
      <c r="A318">
        <v>316</v>
      </c>
      <c r="C318" s="1">
        <f t="shared" si="17"/>
        <v>10.53228</v>
      </c>
      <c r="D318">
        <v>0.24848742065740001</v>
      </c>
      <c r="E318">
        <f t="shared" si="18"/>
        <v>13.907025318077869</v>
      </c>
      <c r="F318">
        <f t="shared" si="16"/>
        <v>5.2526099393353141</v>
      </c>
      <c r="G318">
        <f t="shared" si="19"/>
        <v>16.092974681922129</v>
      </c>
    </row>
    <row r="319" spans="1:7" x14ac:dyDescent="0.4">
      <c r="A319">
        <v>317</v>
      </c>
      <c r="C319" s="1">
        <f t="shared" si="17"/>
        <v>10.56561</v>
      </c>
      <c r="D319">
        <v>0.24848742065740001</v>
      </c>
      <c r="E319">
        <f t="shared" si="18"/>
        <v>13.907025318077869</v>
      </c>
      <c r="F319">
        <f t="shared" si="16"/>
        <v>5.2692321226876411</v>
      </c>
      <c r="G319">
        <f t="shared" si="19"/>
        <v>16.092974681922129</v>
      </c>
    </row>
    <row r="320" spans="1:7" x14ac:dyDescent="0.4">
      <c r="A320">
        <v>318</v>
      </c>
      <c r="C320" s="1">
        <f t="shared" si="17"/>
        <v>10.598939999999999</v>
      </c>
      <c r="D320">
        <v>0.24848742065740001</v>
      </c>
      <c r="E320">
        <f t="shared" si="18"/>
        <v>13.907025318077869</v>
      </c>
      <c r="F320">
        <f t="shared" si="16"/>
        <v>5.2858543060399672</v>
      </c>
      <c r="G320">
        <f t="shared" si="19"/>
        <v>16.092974681922129</v>
      </c>
    </row>
    <row r="321" spans="1:7" x14ac:dyDescent="0.4">
      <c r="A321">
        <v>319</v>
      </c>
      <c r="C321" s="1">
        <f t="shared" si="17"/>
        <v>10.63227</v>
      </c>
      <c r="D321">
        <v>0.24848742065740001</v>
      </c>
      <c r="E321">
        <f t="shared" si="18"/>
        <v>13.907025318077869</v>
      </c>
      <c r="F321">
        <f t="shared" si="16"/>
        <v>5.3024764893922951</v>
      </c>
      <c r="G321">
        <f t="shared" si="19"/>
        <v>16.092974681922129</v>
      </c>
    </row>
    <row r="322" spans="1:7" s="4" customFormat="1" x14ac:dyDescent="0.4">
      <c r="A322" s="4">
        <v>320</v>
      </c>
      <c r="B322" s="4" t="s">
        <v>31</v>
      </c>
      <c r="C322" s="13">
        <f t="shared" si="17"/>
        <v>10.6656</v>
      </c>
      <c r="D322" s="4">
        <v>0.29694265701738576</v>
      </c>
      <c r="E322" s="4">
        <f t="shared" si="18"/>
        <v>14.482855450604658</v>
      </c>
      <c r="G322" s="4">
        <f t="shared" si="19"/>
        <v>15.517144549395342</v>
      </c>
    </row>
    <row r="323" spans="1:7" s="4" customFormat="1" x14ac:dyDescent="0.4">
      <c r="A323" s="4">
        <v>321</v>
      </c>
      <c r="C323" s="13">
        <f t="shared" si="17"/>
        <v>10.698929999999999</v>
      </c>
      <c r="D323" s="4">
        <v>0.30342911045134668</v>
      </c>
      <c r="E323" s="4">
        <f t="shared" si="18"/>
        <v>14.560662536591293</v>
      </c>
      <c r="G323" s="4">
        <f t="shared" si="19"/>
        <v>15.439337463408707</v>
      </c>
    </row>
    <row r="324" spans="1:7" s="4" customFormat="1" x14ac:dyDescent="0.4">
      <c r="A324" s="4">
        <v>322</v>
      </c>
      <c r="C324" s="13">
        <f t="shared" ref="C324:C387" si="20">A324*0.03333</f>
        <v>10.73226</v>
      </c>
      <c r="D324" s="4">
        <v>0.28147155706917681</v>
      </c>
      <c r="E324" s="4">
        <f t="shared" ref="E324:E387" si="21">15*SIN(PI()/2-D324+ASIN(2*COS(D324)/3))/COS(D324)</f>
        <v>14.297921437938079</v>
      </c>
      <c r="G324" s="4">
        <f t="shared" ref="G324:G387" si="22">30-E324</f>
        <v>15.702078562061921</v>
      </c>
    </row>
    <row r="325" spans="1:7" s="4" customFormat="1" x14ac:dyDescent="0.4">
      <c r="A325" s="4">
        <v>323</v>
      </c>
      <c r="C325" s="13">
        <f t="shared" si="20"/>
        <v>10.76559</v>
      </c>
      <c r="D325" s="4">
        <v>0.26796976289390373</v>
      </c>
      <c r="E325" s="4">
        <f t="shared" si="21"/>
        <v>14.137325938466264</v>
      </c>
      <c r="G325" s="4">
        <f t="shared" si="22"/>
        <v>15.862674061533736</v>
      </c>
    </row>
    <row r="326" spans="1:7" s="4" customFormat="1" x14ac:dyDescent="0.4">
      <c r="A326" s="4">
        <v>324</v>
      </c>
      <c r="C326" s="13">
        <f t="shared" si="20"/>
        <v>10.798919999999999</v>
      </c>
      <c r="D326" s="4">
        <v>0.28482895766429817</v>
      </c>
      <c r="E326" s="4">
        <f t="shared" si="21"/>
        <v>14.33797380188448</v>
      </c>
      <c r="G326" s="4">
        <f t="shared" si="22"/>
        <v>15.66202619811552</v>
      </c>
    </row>
    <row r="327" spans="1:7" s="4" customFormat="1" x14ac:dyDescent="0.4">
      <c r="A327" s="4">
        <v>325</v>
      </c>
      <c r="C327" s="13">
        <f t="shared" si="20"/>
        <v>10.83225</v>
      </c>
      <c r="D327" s="4">
        <v>0.27394182239654935</v>
      </c>
      <c r="E327" s="4">
        <f t="shared" si="21"/>
        <v>14.20826415820391</v>
      </c>
      <c r="G327" s="4">
        <f t="shared" si="22"/>
        <v>15.79173584179609</v>
      </c>
    </row>
    <row r="328" spans="1:7" s="4" customFormat="1" x14ac:dyDescent="0.4">
      <c r="A328" s="4">
        <v>326</v>
      </c>
      <c r="C328" s="13">
        <f t="shared" si="20"/>
        <v>10.86558</v>
      </c>
      <c r="D328" s="4">
        <v>0.2869681090052677</v>
      </c>
      <c r="E328" s="4">
        <f t="shared" si="21"/>
        <v>14.363516658221311</v>
      </c>
      <c r="G328" s="4">
        <f t="shared" si="22"/>
        <v>15.636483341778689</v>
      </c>
    </row>
    <row r="329" spans="1:7" s="4" customFormat="1" x14ac:dyDescent="0.4">
      <c r="A329" s="4">
        <v>327</v>
      </c>
      <c r="C329" s="13">
        <f t="shared" si="20"/>
        <v>10.898909999999999</v>
      </c>
      <c r="D329" s="4">
        <v>0.28169969030625319</v>
      </c>
      <c r="E329" s="4">
        <f t="shared" si="21"/>
        <v>14.300641517868517</v>
      </c>
      <c r="G329" s="4">
        <f t="shared" si="22"/>
        <v>15.699358482131483</v>
      </c>
    </row>
    <row r="330" spans="1:7" s="4" customFormat="1" x14ac:dyDescent="0.4">
      <c r="A330" s="4">
        <v>328</v>
      </c>
      <c r="C330" s="13">
        <f t="shared" si="20"/>
        <v>10.93224</v>
      </c>
      <c r="D330" s="4">
        <v>0.28947125635808396</v>
      </c>
      <c r="E330" s="4">
        <f t="shared" si="21"/>
        <v>14.393428916550738</v>
      </c>
      <c r="G330" s="4">
        <f t="shared" si="22"/>
        <v>15.606571083449262</v>
      </c>
    </row>
    <row r="331" spans="1:7" s="4" customFormat="1" x14ac:dyDescent="0.4">
      <c r="A331" s="4">
        <v>329</v>
      </c>
      <c r="C331" s="13">
        <f t="shared" si="20"/>
        <v>10.96557</v>
      </c>
      <c r="D331" s="4">
        <v>0.2703020593785333</v>
      </c>
      <c r="E331" s="4">
        <f t="shared" si="21"/>
        <v>14.165011341625567</v>
      </c>
      <c r="G331" s="4">
        <f t="shared" si="22"/>
        <v>15.834988658374433</v>
      </c>
    </row>
    <row r="332" spans="1:7" s="4" customFormat="1" x14ac:dyDescent="0.4">
      <c r="A332" s="4">
        <v>330</v>
      </c>
      <c r="C332" s="13">
        <f t="shared" si="20"/>
        <v>10.998899999999999</v>
      </c>
      <c r="D332" s="4">
        <v>0.25796056741824902</v>
      </c>
      <c r="E332" s="4">
        <f t="shared" si="21"/>
        <v>14.018787983188785</v>
      </c>
      <c r="G332" s="4">
        <f t="shared" si="22"/>
        <v>15.981212016811215</v>
      </c>
    </row>
    <row r="333" spans="1:7" s="4" customFormat="1" x14ac:dyDescent="0.4">
      <c r="A333" s="4">
        <v>331</v>
      </c>
      <c r="C333" s="13">
        <f t="shared" si="20"/>
        <v>11.03223</v>
      </c>
      <c r="D333" s="4">
        <v>0.19119774539670908</v>
      </c>
      <c r="E333" s="4">
        <f t="shared" si="21"/>
        <v>13.241042966282183</v>
      </c>
      <c r="G333" s="4">
        <f t="shared" si="22"/>
        <v>16.758957033717817</v>
      </c>
    </row>
    <row r="334" spans="1:7" s="4" customFormat="1" x14ac:dyDescent="0.4">
      <c r="A334" s="4">
        <v>332</v>
      </c>
      <c r="C334" s="13">
        <f t="shared" si="20"/>
        <v>11.06556</v>
      </c>
      <c r="D334" s="4">
        <v>0.12878955527794503</v>
      </c>
      <c r="E334" s="4">
        <f t="shared" si="21"/>
        <v>12.538205263397792</v>
      </c>
      <c r="G334" s="4">
        <f t="shared" si="22"/>
        <v>17.461794736602208</v>
      </c>
    </row>
    <row r="335" spans="1:7" s="4" customFormat="1" x14ac:dyDescent="0.4">
      <c r="A335" s="4">
        <v>333</v>
      </c>
      <c r="C335" s="13">
        <f t="shared" si="20"/>
        <v>11.098889999999999</v>
      </c>
      <c r="D335" s="4">
        <v>-2.2918622489771511E-2</v>
      </c>
      <c r="E335" s="4">
        <f t="shared" si="21"/>
        <v>10.953522116725049</v>
      </c>
      <c r="G335" s="4">
        <f t="shared" si="22"/>
        <v>19.046477883274953</v>
      </c>
    </row>
    <row r="336" spans="1:7" s="4" customFormat="1" x14ac:dyDescent="0.4">
      <c r="A336" s="4">
        <v>334</v>
      </c>
      <c r="C336" s="13">
        <f t="shared" si="20"/>
        <v>11.13222</v>
      </c>
      <c r="D336" s="4">
        <v>-0.11878091626807956</v>
      </c>
      <c r="E336" s="4">
        <f t="shared" si="21"/>
        <v>10.057947236231458</v>
      </c>
      <c r="G336" s="4">
        <f t="shared" si="22"/>
        <v>19.942052763768544</v>
      </c>
    </row>
    <row r="337" spans="1:7" s="4" customFormat="1" x14ac:dyDescent="0.4">
      <c r="A337" s="4">
        <v>335</v>
      </c>
      <c r="C337" s="13">
        <f t="shared" si="20"/>
        <v>11.16555</v>
      </c>
      <c r="D337" s="4">
        <v>-0.12437243985571686</v>
      </c>
      <c r="E337" s="4">
        <f t="shared" si="21"/>
        <v>10.008430210125951</v>
      </c>
      <c r="G337" s="4">
        <f t="shared" si="22"/>
        <v>19.991569789874049</v>
      </c>
    </row>
    <row r="338" spans="1:7" s="4" customFormat="1" x14ac:dyDescent="0.4">
      <c r="A338" s="4">
        <v>336</v>
      </c>
      <c r="C338" s="13">
        <f t="shared" si="20"/>
        <v>11.198879999999999</v>
      </c>
      <c r="D338" s="4">
        <v>-0.12024050586416749</v>
      </c>
      <c r="E338" s="4">
        <f t="shared" si="21"/>
        <v>10.044992133635388</v>
      </c>
      <c r="G338" s="4">
        <f t="shared" si="22"/>
        <v>19.95500786636461</v>
      </c>
    </row>
    <row r="339" spans="1:7" s="4" customFormat="1" x14ac:dyDescent="0.4">
      <c r="A339" s="4">
        <v>337</v>
      </c>
      <c r="C339" s="13">
        <f t="shared" si="20"/>
        <v>11.23221</v>
      </c>
      <c r="D339" s="4">
        <v>-0.1867413057072729</v>
      </c>
      <c r="E339" s="4">
        <f t="shared" si="21"/>
        <v>9.4768624792375284</v>
      </c>
      <c r="G339" s="4">
        <f t="shared" si="22"/>
        <v>20.523137520762472</v>
      </c>
    </row>
    <row r="340" spans="1:7" s="4" customFormat="1" x14ac:dyDescent="0.4">
      <c r="A340" s="4">
        <v>338</v>
      </c>
      <c r="C340" s="13">
        <f t="shared" si="20"/>
        <v>11.26554</v>
      </c>
      <c r="D340" s="4">
        <v>-0.2150914080647589</v>
      </c>
      <c r="E340" s="4">
        <f t="shared" si="21"/>
        <v>9.2478786821925834</v>
      </c>
      <c r="G340" s="4">
        <f t="shared" si="22"/>
        <v>20.752121317807415</v>
      </c>
    </row>
    <row r="341" spans="1:7" s="4" customFormat="1" x14ac:dyDescent="0.4">
      <c r="A341" s="4">
        <v>339</v>
      </c>
      <c r="C341" s="13">
        <f t="shared" si="20"/>
        <v>11.298869999999999</v>
      </c>
      <c r="D341" s="4">
        <v>-0.24024621521746026</v>
      </c>
      <c r="E341" s="4">
        <f t="shared" si="21"/>
        <v>9.0513140022835952</v>
      </c>
      <c r="G341" s="4">
        <f t="shared" si="22"/>
        <v>20.948685997716403</v>
      </c>
    </row>
    <row r="342" spans="1:7" s="4" customFormat="1" x14ac:dyDescent="0.4">
      <c r="A342" s="4">
        <v>340</v>
      </c>
      <c r="C342" s="13">
        <f t="shared" si="20"/>
        <v>11.3322</v>
      </c>
      <c r="D342" s="4">
        <v>-0.22207320080566195</v>
      </c>
      <c r="E342" s="4">
        <f t="shared" si="21"/>
        <v>9.1926993373968955</v>
      </c>
      <c r="G342" s="4">
        <f t="shared" si="22"/>
        <v>20.807300662603105</v>
      </c>
    </row>
    <row r="343" spans="1:7" s="4" customFormat="1" x14ac:dyDescent="0.4">
      <c r="A343" s="4">
        <v>341</v>
      </c>
      <c r="C343" s="13">
        <f t="shared" si="20"/>
        <v>11.36553</v>
      </c>
      <c r="D343" s="4">
        <v>-0.2602340676387675</v>
      </c>
      <c r="E343" s="4">
        <f t="shared" si="21"/>
        <v>8.8995380090469371</v>
      </c>
      <c r="G343" s="4">
        <f t="shared" si="22"/>
        <v>21.100461990953065</v>
      </c>
    </row>
    <row r="344" spans="1:7" s="4" customFormat="1" x14ac:dyDescent="0.4">
      <c r="A344" s="4">
        <v>342</v>
      </c>
      <c r="C344" s="13">
        <f t="shared" si="20"/>
        <v>11.398859999999999</v>
      </c>
      <c r="D344" s="4">
        <v>-0.27706592252923229</v>
      </c>
      <c r="E344" s="4">
        <f t="shared" si="21"/>
        <v>8.7747412551855959</v>
      </c>
      <c r="G344" s="4">
        <f t="shared" si="22"/>
        <v>21.225258744814404</v>
      </c>
    </row>
    <row r="345" spans="1:7" s="4" customFormat="1" x14ac:dyDescent="0.4">
      <c r="A345" s="4">
        <v>343</v>
      </c>
      <c r="C345" s="13">
        <f t="shared" si="20"/>
        <v>11.43219</v>
      </c>
      <c r="D345" s="4">
        <v>-0.20902706011667316</v>
      </c>
      <c r="E345" s="4">
        <f t="shared" si="21"/>
        <v>9.2961957912050224</v>
      </c>
      <c r="G345" s="4">
        <f t="shared" si="22"/>
        <v>20.703804208794978</v>
      </c>
    </row>
    <row r="346" spans="1:7" s="4" customFormat="1" x14ac:dyDescent="0.4">
      <c r="A346" s="4">
        <v>344</v>
      </c>
      <c r="C346" s="13">
        <f t="shared" si="20"/>
        <v>11.46552</v>
      </c>
      <c r="D346" s="4">
        <v>-0.14430830773797265</v>
      </c>
      <c r="E346" s="4">
        <f t="shared" si="21"/>
        <v>9.8343678989693615</v>
      </c>
      <c r="G346" s="4">
        <f t="shared" si="22"/>
        <v>20.165632101030639</v>
      </c>
    </row>
    <row r="347" spans="1:7" s="4" customFormat="1" x14ac:dyDescent="0.4">
      <c r="A347" s="4">
        <v>345</v>
      </c>
      <c r="C347" s="13">
        <f t="shared" si="20"/>
        <v>11.498849999999999</v>
      </c>
      <c r="D347" s="4">
        <v>-0.13987431625405089</v>
      </c>
      <c r="E347" s="4">
        <f t="shared" si="21"/>
        <v>9.8727453859919674</v>
      </c>
      <c r="G347" s="4">
        <f t="shared" si="22"/>
        <v>20.127254614008031</v>
      </c>
    </row>
    <row r="348" spans="1:7" s="4" customFormat="1" x14ac:dyDescent="0.4">
      <c r="A348" s="4">
        <v>346</v>
      </c>
      <c r="C348" s="13">
        <f t="shared" si="20"/>
        <v>11.53218</v>
      </c>
      <c r="D348" s="4">
        <v>-5.0806078751589601E-2</v>
      </c>
      <c r="E348" s="4">
        <f t="shared" si="21"/>
        <v>10.68402550737131</v>
      </c>
      <c r="G348" s="4">
        <f t="shared" si="22"/>
        <v>19.31597449262869</v>
      </c>
    </row>
    <row r="349" spans="1:7" s="4" customFormat="1" x14ac:dyDescent="0.4">
      <c r="A349" s="4">
        <v>347</v>
      </c>
      <c r="C349" s="13">
        <f t="shared" si="20"/>
        <v>11.56551</v>
      </c>
      <c r="D349" s="4">
        <v>-5.3930079054194086E-2</v>
      </c>
      <c r="E349" s="4">
        <f t="shared" si="21"/>
        <v>10.654287332134977</v>
      </c>
      <c r="G349" s="4">
        <f t="shared" si="22"/>
        <v>19.345712667865023</v>
      </c>
    </row>
    <row r="350" spans="1:7" s="4" customFormat="1" x14ac:dyDescent="0.4">
      <c r="A350" s="4">
        <v>348</v>
      </c>
      <c r="C350" s="13">
        <f t="shared" si="20"/>
        <v>11.598839999999999</v>
      </c>
      <c r="D350" s="4">
        <v>0.10793798926292944</v>
      </c>
      <c r="E350" s="4">
        <f t="shared" si="21"/>
        <v>12.30940626369407</v>
      </c>
      <c r="G350" s="4">
        <f t="shared" si="22"/>
        <v>17.690593736305928</v>
      </c>
    </row>
    <row r="351" spans="1:7" s="4" customFormat="1" x14ac:dyDescent="0.4">
      <c r="A351" s="4">
        <v>349</v>
      </c>
      <c r="C351" s="13">
        <f t="shared" si="20"/>
        <v>11.63217</v>
      </c>
      <c r="D351" s="4">
        <v>0.20446169878935352</v>
      </c>
      <c r="E351" s="4">
        <f t="shared" si="21"/>
        <v>13.393610424038586</v>
      </c>
      <c r="G351" s="4">
        <f t="shared" si="22"/>
        <v>16.606389575961416</v>
      </c>
    </row>
    <row r="352" spans="1:7" s="4" customFormat="1" x14ac:dyDescent="0.4">
      <c r="A352" s="4">
        <v>350</v>
      </c>
      <c r="C352" s="13">
        <f t="shared" si="20"/>
        <v>11.6655</v>
      </c>
      <c r="D352" s="4">
        <v>0.21847490444106898</v>
      </c>
      <c r="E352" s="4">
        <f t="shared" si="21"/>
        <v>13.555898708120644</v>
      </c>
      <c r="G352" s="4">
        <f t="shared" si="22"/>
        <v>16.444101291879356</v>
      </c>
    </row>
    <row r="353" spans="1:7" s="4" customFormat="1" x14ac:dyDescent="0.4">
      <c r="A353" s="4">
        <v>351</v>
      </c>
      <c r="C353" s="13">
        <f t="shared" si="20"/>
        <v>11.698829999999999</v>
      </c>
      <c r="D353" s="4">
        <v>0.21025030361253494</v>
      </c>
      <c r="E353" s="4">
        <f t="shared" si="21"/>
        <v>13.460514573154912</v>
      </c>
      <c r="G353" s="4">
        <f t="shared" si="22"/>
        <v>16.53948542684509</v>
      </c>
    </row>
    <row r="354" spans="1:7" s="4" customFormat="1" x14ac:dyDescent="0.4">
      <c r="A354" s="4">
        <v>352</v>
      </c>
      <c r="C354" s="13">
        <f t="shared" si="20"/>
        <v>11.73216</v>
      </c>
      <c r="D354" s="4">
        <v>0.26962507445804518</v>
      </c>
      <c r="E354" s="4">
        <f t="shared" si="21"/>
        <v>14.156972775945663</v>
      </c>
      <c r="G354" s="4">
        <f t="shared" si="22"/>
        <v>15.843027224054337</v>
      </c>
    </row>
    <row r="355" spans="1:7" s="4" customFormat="1" x14ac:dyDescent="0.4">
      <c r="A355" s="4">
        <v>353</v>
      </c>
      <c r="C355" s="13">
        <f t="shared" si="20"/>
        <v>11.76549</v>
      </c>
      <c r="D355" s="4">
        <v>0.3583611430517164</v>
      </c>
      <c r="E355" s="4">
        <f t="shared" si="21"/>
        <v>15.224986890686418</v>
      </c>
      <c r="G355" s="4">
        <f t="shared" si="22"/>
        <v>14.775013109313582</v>
      </c>
    </row>
    <row r="356" spans="1:7" s="4" customFormat="1" x14ac:dyDescent="0.4">
      <c r="A356" s="4">
        <v>354</v>
      </c>
      <c r="C356" s="13">
        <f t="shared" si="20"/>
        <v>11.798819999999999</v>
      </c>
      <c r="D356" s="4">
        <v>0.35796057339815829</v>
      </c>
      <c r="E356" s="4">
        <f t="shared" si="21"/>
        <v>15.220112999473592</v>
      </c>
      <c r="G356" s="4">
        <f t="shared" si="22"/>
        <v>14.779887000526408</v>
      </c>
    </row>
    <row r="357" spans="1:7" s="4" customFormat="1" x14ac:dyDescent="0.4">
      <c r="A357" s="4">
        <v>355</v>
      </c>
      <c r="C357" s="13">
        <f t="shared" si="20"/>
        <v>11.832149999999999</v>
      </c>
      <c r="D357" s="4">
        <v>0.45697558614560696</v>
      </c>
      <c r="E357" s="4">
        <f t="shared" si="21"/>
        <v>16.431883128947049</v>
      </c>
      <c r="G357" s="4">
        <f t="shared" si="22"/>
        <v>13.568116871052951</v>
      </c>
    </row>
    <row r="358" spans="1:7" s="4" customFormat="1" x14ac:dyDescent="0.4">
      <c r="A358" s="4">
        <v>356</v>
      </c>
      <c r="C358" s="13">
        <f t="shared" si="20"/>
        <v>11.86548</v>
      </c>
      <c r="D358" s="4">
        <v>0.467306053644997</v>
      </c>
      <c r="E358" s="4">
        <f t="shared" si="21"/>
        <v>16.558602424731447</v>
      </c>
      <c r="G358" s="4">
        <f t="shared" si="22"/>
        <v>13.441397575268553</v>
      </c>
    </row>
    <row r="359" spans="1:7" s="4" customFormat="1" x14ac:dyDescent="0.4">
      <c r="A359" s="4">
        <v>357</v>
      </c>
      <c r="C359" s="13">
        <f t="shared" si="20"/>
        <v>11.898809999999999</v>
      </c>
      <c r="D359" s="4">
        <v>0.52835465577247043</v>
      </c>
      <c r="E359" s="4">
        <f t="shared" si="21"/>
        <v>17.305428044996408</v>
      </c>
      <c r="G359" s="4">
        <f t="shared" si="22"/>
        <v>12.694571955003592</v>
      </c>
    </row>
    <row r="360" spans="1:7" s="4" customFormat="1" x14ac:dyDescent="0.4">
      <c r="A360" s="4">
        <v>358</v>
      </c>
      <c r="C360" s="13">
        <f t="shared" si="20"/>
        <v>11.932139999999999</v>
      </c>
      <c r="D360" s="4">
        <v>0.53703032999261602</v>
      </c>
      <c r="E360" s="4">
        <f t="shared" si="21"/>
        <v>17.411072004996154</v>
      </c>
      <c r="G360" s="4">
        <f t="shared" si="22"/>
        <v>12.588927995003846</v>
      </c>
    </row>
    <row r="361" spans="1:7" s="4" customFormat="1" x14ac:dyDescent="0.4">
      <c r="A361" s="4">
        <v>359</v>
      </c>
      <c r="C361" s="13">
        <f t="shared" si="20"/>
        <v>11.96547</v>
      </c>
      <c r="D361" s="4">
        <v>0.53031155861586077</v>
      </c>
      <c r="E361" s="4">
        <f t="shared" si="21"/>
        <v>17.329271441698541</v>
      </c>
      <c r="G361" s="4">
        <f t="shared" si="22"/>
        <v>12.670728558301459</v>
      </c>
    </row>
    <row r="362" spans="1:7" s="4" customFormat="1" x14ac:dyDescent="0.4">
      <c r="A362" s="4">
        <v>360</v>
      </c>
      <c r="C362" s="13">
        <f t="shared" si="20"/>
        <v>11.998799999999999</v>
      </c>
      <c r="D362" s="4">
        <v>0.51641698366692768</v>
      </c>
      <c r="E362" s="4">
        <f t="shared" si="21"/>
        <v>17.159812691781408</v>
      </c>
      <c r="G362" s="4">
        <f t="shared" si="22"/>
        <v>12.840187308218592</v>
      </c>
    </row>
    <row r="363" spans="1:7" s="4" customFormat="1" x14ac:dyDescent="0.4">
      <c r="A363" s="4">
        <v>361</v>
      </c>
      <c r="C363" s="13">
        <f t="shared" si="20"/>
        <v>12.032129999999999</v>
      </c>
      <c r="D363" s="4">
        <v>0.69995381222268938</v>
      </c>
      <c r="E363" s="4">
        <f t="shared" si="21"/>
        <v>19.345198792832232</v>
      </c>
      <c r="G363" s="4">
        <f t="shared" si="22"/>
        <v>10.654801207167768</v>
      </c>
    </row>
    <row r="364" spans="1:7" s="4" customFormat="1" x14ac:dyDescent="0.4">
      <c r="A364" s="4">
        <v>362</v>
      </c>
      <c r="C364" s="13">
        <f t="shared" si="20"/>
        <v>12.06546</v>
      </c>
      <c r="D364" s="4">
        <v>0.74400747755579699</v>
      </c>
      <c r="E364" s="4">
        <f t="shared" si="21"/>
        <v>19.843977947447321</v>
      </c>
      <c r="G364" s="4">
        <f t="shared" si="22"/>
        <v>10.156022052552679</v>
      </c>
    </row>
    <row r="365" spans="1:7" s="4" customFormat="1" x14ac:dyDescent="0.4">
      <c r="A365" s="4">
        <v>363</v>
      </c>
      <c r="C365" s="13">
        <f t="shared" si="20"/>
        <v>12.098789999999999</v>
      </c>
      <c r="D365" s="4">
        <v>0.7869902018533923</v>
      </c>
      <c r="E365" s="4">
        <f t="shared" si="21"/>
        <v>20.317088774870808</v>
      </c>
      <c r="G365" s="4">
        <f t="shared" si="22"/>
        <v>9.6829112251291924</v>
      </c>
    </row>
    <row r="366" spans="1:7" s="4" customFormat="1" x14ac:dyDescent="0.4">
      <c r="A366" s="4">
        <v>364</v>
      </c>
      <c r="C366" s="13">
        <f t="shared" si="20"/>
        <v>12.132119999999999</v>
      </c>
      <c r="D366" s="4">
        <v>0.7708722907559038</v>
      </c>
      <c r="E366" s="4">
        <f t="shared" si="21"/>
        <v>20.141359272621798</v>
      </c>
      <c r="G366" s="4">
        <f t="shared" si="22"/>
        <v>9.8586407273782015</v>
      </c>
    </row>
    <row r="367" spans="1:7" s="4" customFormat="1" x14ac:dyDescent="0.4">
      <c r="A367" s="4">
        <v>365</v>
      </c>
      <c r="C367" s="13">
        <f t="shared" si="20"/>
        <v>12.16545</v>
      </c>
      <c r="D367" s="4">
        <v>0.79322885689781353</v>
      </c>
      <c r="E367" s="4">
        <f t="shared" si="21"/>
        <v>20.384541365582976</v>
      </c>
      <c r="G367" s="4">
        <f t="shared" si="22"/>
        <v>9.6154586344170241</v>
      </c>
    </row>
    <row r="368" spans="1:7" s="4" customFormat="1" x14ac:dyDescent="0.4">
      <c r="A368" s="4">
        <v>366</v>
      </c>
      <c r="C368" s="13">
        <f t="shared" si="20"/>
        <v>12.198779999999999</v>
      </c>
      <c r="D368" s="4">
        <v>0.82804862979364802</v>
      </c>
      <c r="E368" s="4">
        <f t="shared" si="21"/>
        <v>20.754927015060868</v>
      </c>
      <c r="G368" s="4">
        <f t="shared" si="22"/>
        <v>9.2450729849391315</v>
      </c>
    </row>
    <row r="369" spans="1:7" s="4" customFormat="1" x14ac:dyDescent="0.4">
      <c r="A369" s="4">
        <v>367</v>
      </c>
      <c r="C369" s="13">
        <f t="shared" si="20"/>
        <v>12.232109999999999</v>
      </c>
      <c r="D369" s="4">
        <v>0.88969406291795938</v>
      </c>
      <c r="E369" s="4">
        <f t="shared" si="21"/>
        <v>21.383273556377919</v>
      </c>
      <c r="G369" s="4">
        <f t="shared" si="22"/>
        <v>8.6167264436220812</v>
      </c>
    </row>
    <row r="370" spans="1:7" s="4" customFormat="1" x14ac:dyDescent="0.4">
      <c r="A370" s="4">
        <v>368</v>
      </c>
      <c r="C370" s="13">
        <f t="shared" si="20"/>
        <v>12.26544</v>
      </c>
      <c r="D370" s="4">
        <v>0.90416366283719918</v>
      </c>
      <c r="E370" s="4">
        <f t="shared" si="21"/>
        <v>21.525288757987855</v>
      </c>
      <c r="G370" s="4">
        <f t="shared" si="22"/>
        <v>8.4747112420121447</v>
      </c>
    </row>
    <row r="371" spans="1:7" s="4" customFormat="1" x14ac:dyDescent="0.4">
      <c r="A371" s="4">
        <v>369</v>
      </c>
      <c r="C371" s="13">
        <f t="shared" si="20"/>
        <v>12.298769999999999</v>
      </c>
      <c r="D371" s="4">
        <v>0.90201174707748355</v>
      </c>
      <c r="E371" s="4">
        <f t="shared" si="21"/>
        <v>21.504306175183963</v>
      </c>
      <c r="G371" s="4">
        <f t="shared" si="22"/>
        <v>8.495693824816037</v>
      </c>
    </row>
    <row r="372" spans="1:7" s="4" customFormat="1" x14ac:dyDescent="0.4">
      <c r="A372" s="4">
        <v>370</v>
      </c>
      <c r="C372" s="13">
        <f t="shared" si="20"/>
        <v>12.332099999999999</v>
      </c>
      <c r="D372" s="4">
        <v>0.89495477644395227</v>
      </c>
      <c r="E372" s="4">
        <f t="shared" si="21"/>
        <v>21.435156991334647</v>
      </c>
      <c r="G372" s="4">
        <f t="shared" si="22"/>
        <v>8.5648430086653526</v>
      </c>
    </row>
    <row r="373" spans="1:7" s="4" customFormat="1" x14ac:dyDescent="0.4">
      <c r="A373" s="4">
        <v>371</v>
      </c>
      <c r="C373" s="13">
        <f t="shared" si="20"/>
        <v>12.36543</v>
      </c>
      <c r="D373" s="4">
        <v>0.86603986561510471</v>
      </c>
      <c r="E373" s="4">
        <f t="shared" si="21"/>
        <v>21.146523992710474</v>
      </c>
      <c r="G373" s="4">
        <f t="shared" si="22"/>
        <v>8.853476007289526</v>
      </c>
    </row>
    <row r="374" spans="1:7" s="4" customFormat="1" x14ac:dyDescent="0.4">
      <c r="A374" s="4">
        <v>372</v>
      </c>
      <c r="C374" s="13">
        <f t="shared" si="20"/>
        <v>12.398759999999999</v>
      </c>
      <c r="D374" s="4">
        <v>0.77013659723326178</v>
      </c>
      <c r="E374" s="4">
        <f t="shared" si="21"/>
        <v>20.133288906527749</v>
      </c>
      <c r="G374" s="4">
        <f t="shared" si="22"/>
        <v>9.8667110934722508</v>
      </c>
    </row>
    <row r="375" spans="1:7" s="4" customFormat="1" x14ac:dyDescent="0.4">
      <c r="A375" s="4">
        <v>373</v>
      </c>
      <c r="C375" s="13">
        <f t="shared" si="20"/>
        <v>12.432089999999999</v>
      </c>
      <c r="D375" s="4">
        <v>0.71602736705366676</v>
      </c>
      <c r="E375" s="4">
        <f t="shared" si="21"/>
        <v>19.528694172737403</v>
      </c>
      <c r="G375" s="4">
        <f t="shared" si="22"/>
        <v>10.471305827262597</v>
      </c>
    </row>
    <row r="376" spans="1:7" s="4" customFormat="1" x14ac:dyDescent="0.4">
      <c r="A376" s="4">
        <v>374</v>
      </c>
      <c r="C376" s="13">
        <f t="shared" si="20"/>
        <v>12.46542</v>
      </c>
      <c r="D376" s="4">
        <v>0.66360040383539565</v>
      </c>
      <c r="E376" s="4">
        <f t="shared" si="21"/>
        <v>18.924379606100789</v>
      </c>
      <c r="G376" s="4">
        <f t="shared" si="22"/>
        <v>11.075620393899211</v>
      </c>
    </row>
    <row r="377" spans="1:7" s="4" customFormat="1" x14ac:dyDescent="0.4">
      <c r="A377" s="4">
        <v>375</v>
      </c>
      <c r="C377" s="13">
        <f t="shared" si="20"/>
        <v>12.498749999999999</v>
      </c>
      <c r="D377" s="4">
        <v>0.69900417732493503</v>
      </c>
      <c r="E377" s="4">
        <f t="shared" si="21"/>
        <v>19.334306292483998</v>
      </c>
      <c r="G377" s="4">
        <f t="shared" si="22"/>
        <v>10.665693707516002</v>
      </c>
    </row>
    <row r="378" spans="1:7" s="4" customFormat="1" x14ac:dyDescent="0.4">
      <c r="A378" s="4">
        <v>376</v>
      </c>
      <c r="C378" s="13">
        <f t="shared" si="20"/>
        <v>12.532079999999999</v>
      </c>
      <c r="D378" s="4">
        <v>0.50413212310814715</v>
      </c>
      <c r="E378" s="4">
        <f t="shared" si="21"/>
        <v>17.009701646278227</v>
      </c>
      <c r="G378" s="4">
        <f t="shared" si="22"/>
        <v>12.990298353721773</v>
      </c>
    </row>
    <row r="379" spans="1:7" s="4" customFormat="1" x14ac:dyDescent="0.4">
      <c r="A379" s="4">
        <v>377</v>
      </c>
      <c r="C379" s="13">
        <f t="shared" si="20"/>
        <v>12.56541</v>
      </c>
      <c r="D379" s="4">
        <v>0.50157250148033283</v>
      </c>
      <c r="E379" s="4">
        <f t="shared" si="21"/>
        <v>16.978396181637766</v>
      </c>
      <c r="G379" s="4">
        <f t="shared" si="22"/>
        <v>13.021603818362234</v>
      </c>
    </row>
    <row r="380" spans="1:7" s="4" customFormat="1" x14ac:dyDescent="0.4">
      <c r="A380" s="4">
        <v>378</v>
      </c>
      <c r="C380" s="13">
        <f t="shared" si="20"/>
        <v>12.598739999999999</v>
      </c>
      <c r="D380" s="4">
        <v>0.41581833601236151</v>
      </c>
      <c r="E380" s="4">
        <f t="shared" si="21"/>
        <v>15.927054438284877</v>
      </c>
      <c r="G380" s="4">
        <f t="shared" si="22"/>
        <v>14.072945561715123</v>
      </c>
    </row>
    <row r="381" spans="1:7" s="4" customFormat="1" x14ac:dyDescent="0.4">
      <c r="A381" s="4">
        <v>379</v>
      </c>
      <c r="C381" s="13">
        <f t="shared" si="20"/>
        <v>12.632069999999999</v>
      </c>
      <c r="D381" s="4">
        <v>0.32708630655511695</v>
      </c>
      <c r="E381" s="4">
        <f t="shared" si="21"/>
        <v>14.845668162217676</v>
      </c>
      <c r="G381" s="4">
        <f t="shared" si="22"/>
        <v>15.154331837782324</v>
      </c>
    </row>
    <row r="382" spans="1:7" s="4" customFormat="1" x14ac:dyDescent="0.4">
      <c r="A382" s="4">
        <v>380</v>
      </c>
      <c r="C382" s="13">
        <f t="shared" si="20"/>
        <v>12.6654</v>
      </c>
      <c r="D382" s="4">
        <v>0.3137782086582015</v>
      </c>
      <c r="E382" s="4">
        <f t="shared" si="21"/>
        <v>14.685112983661169</v>
      </c>
      <c r="G382" s="4">
        <f t="shared" si="22"/>
        <v>15.314887016338831</v>
      </c>
    </row>
    <row r="383" spans="1:7" s="4" customFormat="1" x14ac:dyDescent="0.4">
      <c r="A383" s="4">
        <v>381</v>
      </c>
      <c r="C383" s="13">
        <f t="shared" si="20"/>
        <v>12.698729999999999</v>
      </c>
      <c r="D383" s="4">
        <v>0.23940544569186581</v>
      </c>
      <c r="E383" s="4">
        <f t="shared" si="21"/>
        <v>13.800285227589903</v>
      </c>
      <c r="G383" s="4">
        <f t="shared" si="22"/>
        <v>16.199714772410097</v>
      </c>
    </row>
    <row r="384" spans="1:7" s="4" customFormat="1" x14ac:dyDescent="0.4">
      <c r="A384" s="4">
        <v>382</v>
      </c>
      <c r="C384" s="13">
        <f t="shared" si="20"/>
        <v>12.732059999999999</v>
      </c>
      <c r="D384" s="4">
        <v>0.25380405195293559</v>
      </c>
      <c r="E384" s="4">
        <f t="shared" si="21"/>
        <v>13.969697800261786</v>
      </c>
      <c r="G384" s="4">
        <f t="shared" si="22"/>
        <v>16.030302199738216</v>
      </c>
    </row>
    <row r="385" spans="1:7" s="4" customFormat="1" x14ac:dyDescent="0.4">
      <c r="A385" s="4">
        <v>383</v>
      </c>
      <c r="C385" s="13">
        <f t="shared" si="20"/>
        <v>12.76539</v>
      </c>
      <c r="D385" s="4">
        <v>0.25918528465917701</v>
      </c>
      <c r="E385" s="4">
        <f t="shared" si="21"/>
        <v>14.033267735710922</v>
      </c>
      <c r="G385" s="4">
        <f t="shared" si="22"/>
        <v>15.966732264289078</v>
      </c>
    </row>
    <row r="386" spans="1:7" s="4" customFormat="1" x14ac:dyDescent="0.4">
      <c r="A386" s="4">
        <v>384</v>
      </c>
      <c r="C386" s="13">
        <f t="shared" si="20"/>
        <v>12.798719999999999</v>
      </c>
      <c r="D386" s="4">
        <v>0.30009360262454599</v>
      </c>
      <c r="E386" s="4">
        <f t="shared" si="21"/>
        <v>14.520632804801727</v>
      </c>
      <c r="G386" s="4">
        <f t="shared" si="22"/>
        <v>15.479367195198273</v>
      </c>
    </row>
    <row r="387" spans="1:7" s="4" customFormat="1" x14ac:dyDescent="0.4">
      <c r="A387" s="4">
        <v>385</v>
      </c>
      <c r="C387" s="13">
        <f t="shared" si="20"/>
        <v>12.832049999999999</v>
      </c>
      <c r="D387" s="4">
        <v>0.34912255096387473</v>
      </c>
      <c r="E387" s="4">
        <f t="shared" si="21"/>
        <v>15.112672603844956</v>
      </c>
      <c r="G387" s="4">
        <f t="shared" si="22"/>
        <v>14.887327396155044</v>
      </c>
    </row>
    <row r="388" spans="1:7" s="4" customFormat="1" x14ac:dyDescent="0.4">
      <c r="A388" s="4">
        <v>386</v>
      </c>
      <c r="C388" s="13">
        <f t="shared" ref="C388:C422" si="23">A388*0.03333</f>
        <v>12.86538</v>
      </c>
      <c r="D388" s="4">
        <v>0.33118630683172867</v>
      </c>
      <c r="E388" s="4">
        <f t="shared" ref="E388:E422" si="24">15*SIN(PI()/2-D388+ASIN(2*COS(D388)/3))/COS(D388)</f>
        <v>14.895242937883474</v>
      </c>
      <c r="G388" s="4">
        <f t="shared" ref="G388:G422" si="25">30-E388</f>
        <v>15.104757062116526</v>
      </c>
    </row>
    <row r="389" spans="1:7" s="4" customFormat="1" x14ac:dyDescent="0.4">
      <c r="A389" s="4">
        <v>387</v>
      </c>
      <c r="C389" s="13">
        <f t="shared" si="23"/>
        <v>12.898709999999999</v>
      </c>
      <c r="D389" s="4">
        <v>0.3405717583380326</v>
      </c>
      <c r="E389" s="4">
        <f t="shared" si="24"/>
        <v>15.008908444099891</v>
      </c>
      <c r="G389" s="4">
        <f t="shared" si="25"/>
        <v>14.991091555900109</v>
      </c>
    </row>
    <row r="390" spans="1:7" s="4" customFormat="1" x14ac:dyDescent="0.4">
      <c r="A390" s="4">
        <v>388</v>
      </c>
      <c r="C390" s="13">
        <f t="shared" si="23"/>
        <v>12.932039999999999</v>
      </c>
      <c r="D390" s="4">
        <v>0.38410564171378631</v>
      </c>
      <c r="E390" s="4">
        <f t="shared" si="24"/>
        <v>15.538919370265525</v>
      </c>
      <c r="G390" s="4">
        <f t="shared" si="25"/>
        <v>14.461080629734475</v>
      </c>
    </row>
    <row r="391" spans="1:7" s="4" customFormat="1" x14ac:dyDescent="0.4">
      <c r="A391" s="4">
        <v>389</v>
      </c>
      <c r="C391" s="13">
        <f t="shared" si="23"/>
        <v>12.96537</v>
      </c>
      <c r="D391" s="4">
        <v>0.40769349544898387</v>
      </c>
      <c r="E391" s="4">
        <f t="shared" si="24"/>
        <v>15.827503352707273</v>
      </c>
      <c r="G391" s="4">
        <f t="shared" si="25"/>
        <v>14.172496647292727</v>
      </c>
    </row>
    <row r="392" spans="1:7" s="4" customFormat="1" x14ac:dyDescent="0.4">
      <c r="A392" s="4">
        <v>390</v>
      </c>
      <c r="C392" s="13">
        <f t="shared" si="23"/>
        <v>12.998699999999999</v>
      </c>
      <c r="D392" s="4">
        <v>0.43773044516668419</v>
      </c>
      <c r="E392" s="4">
        <f t="shared" si="24"/>
        <v>16.195766195117777</v>
      </c>
      <c r="G392" s="4">
        <f t="shared" si="25"/>
        <v>13.804233804882223</v>
      </c>
    </row>
    <row r="393" spans="1:7" s="4" customFormat="1" x14ac:dyDescent="0.4">
      <c r="A393" s="4">
        <v>391</v>
      </c>
      <c r="C393" s="13">
        <f t="shared" si="23"/>
        <v>13.032029999999999</v>
      </c>
      <c r="D393" s="4">
        <v>0.50993786761026072</v>
      </c>
      <c r="E393" s="4">
        <f t="shared" si="24"/>
        <v>17.080673152321907</v>
      </c>
      <c r="G393" s="4">
        <f t="shared" si="25"/>
        <v>12.919326847678093</v>
      </c>
    </row>
    <row r="394" spans="1:7" s="4" customFormat="1" x14ac:dyDescent="0.4">
      <c r="A394" s="4">
        <v>392</v>
      </c>
      <c r="C394" s="13">
        <f t="shared" si="23"/>
        <v>13.06536</v>
      </c>
      <c r="D394" s="4">
        <v>0.52839121110112364</v>
      </c>
      <c r="E394" s="4">
        <f t="shared" si="24"/>
        <v>17.305873517187131</v>
      </c>
      <c r="G394" s="4">
        <f t="shared" si="25"/>
        <v>12.694126482812869</v>
      </c>
    </row>
    <row r="395" spans="1:7" s="4" customFormat="1" x14ac:dyDescent="0.4">
      <c r="A395" s="4">
        <v>393</v>
      </c>
      <c r="C395" s="13">
        <f t="shared" si="23"/>
        <v>13.09869</v>
      </c>
      <c r="D395" s="4">
        <v>0.61084844518138404</v>
      </c>
      <c r="E395" s="4">
        <f t="shared" si="24"/>
        <v>18.301350610245017</v>
      </c>
      <c r="G395" s="4">
        <f t="shared" si="25"/>
        <v>11.698649389754983</v>
      </c>
    </row>
    <row r="396" spans="1:7" s="4" customFormat="1" x14ac:dyDescent="0.4">
      <c r="A396" s="4">
        <v>394</v>
      </c>
      <c r="C396" s="13">
        <f t="shared" si="23"/>
        <v>13.132019999999999</v>
      </c>
      <c r="D396" s="4">
        <v>0.59409153855616292</v>
      </c>
      <c r="E396" s="4">
        <f t="shared" si="24"/>
        <v>18.100869320297743</v>
      </c>
      <c r="G396" s="4">
        <f t="shared" si="25"/>
        <v>11.899130679702257</v>
      </c>
    </row>
    <row r="397" spans="1:7" s="4" customFormat="1" x14ac:dyDescent="0.4">
      <c r="A397" s="4">
        <v>395</v>
      </c>
      <c r="C397" s="13">
        <f t="shared" si="23"/>
        <v>13.16535</v>
      </c>
      <c r="D397" s="4">
        <v>0.64922276992255445</v>
      </c>
      <c r="E397" s="4">
        <f t="shared" si="24"/>
        <v>18.755914168820762</v>
      </c>
      <c r="G397" s="4">
        <f t="shared" si="25"/>
        <v>11.244085831179238</v>
      </c>
    </row>
    <row r="398" spans="1:7" s="4" customFormat="1" x14ac:dyDescent="0.4">
      <c r="A398" s="4">
        <v>396</v>
      </c>
      <c r="C398" s="13">
        <f t="shared" si="23"/>
        <v>13.19868</v>
      </c>
      <c r="D398" s="4">
        <v>0.72356339725518692</v>
      </c>
      <c r="E398" s="4">
        <f t="shared" si="24"/>
        <v>19.614141991040693</v>
      </c>
      <c r="G398" s="4">
        <f t="shared" si="25"/>
        <v>10.385858008959307</v>
      </c>
    </row>
    <row r="399" spans="1:7" s="4" customFormat="1" x14ac:dyDescent="0.4">
      <c r="A399" s="4">
        <v>397</v>
      </c>
      <c r="C399" s="13">
        <f t="shared" si="23"/>
        <v>13.232009999999999</v>
      </c>
      <c r="D399" s="4">
        <v>0.73041123648299833</v>
      </c>
      <c r="E399" s="4">
        <f t="shared" si="24"/>
        <v>19.691452391431298</v>
      </c>
      <c r="G399" s="4">
        <f t="shared" si="25"/>
        <v>10.308547608568702</v>
      </c>
    </row>
    <row r="400" spans="1:7" s="4" customFormat="1" x14ac:dyDescent="0.4">
      <c r="A400" s="4">
        <v>398</v>
      </c>
      <c r="C400" s="13">
        <f t="shared" si="23"/>
        <v>13.26534</v>
      </c>
      <c r="D400" s="4">
        <v>0.73902927220269299</v>
      </c>
      <c r="E400" s="4">
        <f t="shared" si="24"/>
        <v>19.78828396575647</v>
      </c>
      <c r="G400" s="4">
        <f t="shared" si="25"/>
        <v>10.21171603424353</v>
      </c>
    </row>
    <row r="401" spans="1:7" s="4" customFormat="1" x14ac:dyDescent="0.4">
      <c r="A401" s="4">
        <v>399</v>
      </c>
      <c r="C401" s="13">
        <f t="shared" si="23"/>
        <v>13.29867</v>
      </c>
      <c r="D401" s="4">
        <v>0.72545850900069575</v>
      </c>
      <c r="E401" s="4">
        <f t="shared" si="24"/>
        <v>19.635569521611608</v>
      </c>
      <c r="G401" s="4">
        <f t="shared" si="25"/>
        <v>10.364430478388392</v>
      </c>
    </row>
    <row r="402" spans="1:7" s="4" customFormat="1" x14ac:dyDescent="0.4">
      <c r="A402" s="4">
        <v>400</v>
      </c>
      <c r="C402" s="13">
        <f t="shared" si="23"/>
        <v>13.331999999999999</v>
      </c>
      <c r="D402" s="4">
        <v>0.72486901604774612</v>
      </c>
      <c r="E402" s="4">
        <f t="shared" si="24"/>
        <v>19.628906903285184</v>
      </c>
      <c r="G402" s="4">
        <f t="shared" si="25"/>
        <v>10.371093096714816</v>
      </c>
    </row>
    <row r="403" spans="1:7" s="4" customFormat="1" x14ac:dyDescent="0.4">
      <c r="A403" s="4">
        <v>401</v>
      </c>
      <c r="C403" s="13">
        <f t="shared" si="23"/>
        <v>13.36533</v>
      </c>
      <c r="D403" s="4">
        <v>0.7168596948284236</v>
      </c>
      <c r="E403" s="4">
        <f t="shared" si="24"/>
        <v>19.53815023342322</v>
      </c>
      <c r="G403" s="4">
        <f t="shared" si="25"/>
        <v>10.46184976657678</v>
      </c>
    </row>
    <row r="404" spans="1:7" s="4" customFormat="1" x14ac:dyDescent="0.4">
      <c r="A404" s="4">
        <v>402</v>
      </c>
      <c r="C404" s="13">
        <f t="shared" si="23"/>
        <v>13.39866</v>
      </c>
      <c r="D404" s="4">
        <v>0.69121571189524389</v>
      </c>
      <c r="E404" s="4">
        <f t="shared" si="24"/>
        <v>19.244760784317219</v>
      </c>
      <c r="G404" s="4">
        <f t="shared" si="25"/>
        <v>10.755239215682781</v>
      </c>
    </row>
    <row r="405" spans="1:7" s="4" customFormat="1" x14ac:dyDescent="0.4">
      <c r="A405" s="4">
        <v>403</v>
      </c>
      <c r="C405" s="13">
        <f t="shared" si="23"/>
        <v>13.431989999999999</v>
      </c>
      <c r="D405" s="4">
        <v>0.68886346832459588</v>
      </c>
      <c r="E405" s="4">
        <f t="shared" si="24"/>
        <v>19.21764390544379</v>
      </c>
      <c r="G405" s="4">
        <f t="shared" si="25"/>
        <v>10.78235609455621</v>
      </c>
    </row>
    <row r="406" spans="1:7" s="4" customFormat="1" x14ac:dyDescent="0.4">
      <c r="A406" s="4">
        <v>404</v>
      </c>
      <c r="C406" s="13">
        <f t="shared" si="23"/>
        <v>13.46532</v>
      </c>
      <c r="D406" s="4">
        <v>0.70366533515017471</v>
      </c>
      <c r="E406" s="4">
        <f t="shared" si="24"/>
        <v>19.387716415881393</v>
      </c>
      <c r="G406" s="4">
        <f t="shared" si="25"/>
        <v>10.612283584118607</v>
      </c>
    </row>
    <row r="407" spans="1:7" s="4" customFormat="1" x14ac:dyDescent="0.4">
      <c r="A407" s="4">
        <v>405</v>
      </c>
      <c r="C407" s="13">
        <f t="shared" si="23"/>
        <v>13.49865</v>
      </c>
      <c r="D407" s="4">
        <v>0.70906384502856779</v>
      </c>
      <c r="E407" s="4">
        <f t="shared" si="24"/>
        <v>19.449403234849303</v>
      </c>
      <c r="G407" s="4">
        <f t="shared" si="25"/>
        <v>10.550596765150697</v>
      </c>
    </row>
    <row r="408" spans="1:7" s="4" customFormat="1" x14ac:dyDescent="0.4">
      <c r="A408" s="4">
        <v>406</v>
      </c>
      <c r="C408" s="13">
        <f t="shared" si="23"/>
        <v>13.531979999999999</v>
      </c>
      <c r="D408" s="4">
        <v>0.7269773864587834</v>
      </c>
      <c r="E408" s="4">
        <f t="shared" si="24"/>
        <v>19.652725352625332</v>
      </c>
      <c r="G408" s="4">
        <f t="shared" si="25"/>
        <v>10.347274647374668</v>
      </c>
    </row>
    <row r="409" spans="1:7" s="4" customFormat="1" x14ac:dyDescent="0.4">
      <c r="A409" s="4">
        <v>407</v>
      </c>
      <c r="C409" s="13">
        <f t="shared" si="23"/>
        <v>13.56531</v>
      </c>
      <c r="D409" s="4">
        <v>0.72986758836789634</v>
      </c>
      <c r="E409" s="4">
        <f t="shared" si="24"/>
        <v>19.685326550631096</v>
      </c>
      <c r="G409" s="4">
        <f t="shared" si="25"/>
        <v>10.314673449368904</v>
      </c>
    </row>
    <row r="410" spans="1:7" s="4" customFormat="1" x14ac:dyDescent="0.4">
      <c r="A410" s="4">
        <v>408</v>
      </c>
      <c r="C410" s="13">
        <f t="shared" si="23"/>
        <v>13.59864</v>
      </c>
      <c r="D410" s="4">
        <v>0.70158464940995269</v>
      </c>
      <c r="E410" s="4">
        <f t="shared" si="24"/>
        <v>19.363891648076759</v>
      </c>
      <c r="G410" s="4">
        <f t="shared" si="25"/>
        <v>10.636108351923241</v>
      </c>
    </row>
    <row r="411" spans="1:7" s="4" customFormat="1" x14ac:dyDescent="0.4">
      <c r="A411" s="4">
        <v>409</v>
      </c>
      <c r="C411" s="13">
        <f t="shared" si="23"/>
        <v>13.631969999999999</v>
      </c>
      <c r="D411" s="4">
        <v>0.69218465559829057</v>
      </c>
      <c r="E411" s="4">
        <f t="shared" si="24"/>
        <v>19.255921136301509</v>
      </c>
      <c r="G411" s="4">
        <f t="shared" si="25"/>
        <v>10.744078863698491</v>
      </c>
    </row>
    <row r="412" spans="1:7" s="4" customFormat="1" x14ac:dyDescent="0.4">
      <c r="A412" s="4">
        <v>410</v>
      </c>
      <c r="C412" s="13">
        <f t="shared" si="23"/>
        <v>13.6653</v>
      </c>
      <c r="D412" s="4">
        <v>0.6961615854994343</v>
      </c>
      <c r="E412" s="4">
        <f t="shared" si="24"/>
        <v>19.301667690378743</v>
      </c>
      <c r="G412" s="4">
        <f t="shared" si="25"/>
        <v>10.698332309621257</v>
      </c>
    </row>
    <row r="413" spans="1:7" s="4" customFormat="1" x14ac:dyDescent="0.4">
      <c r="A413" s="4">
        <v>411</v>
      </c>
      <c r="C413" s="13">
        <f t="shared" si="23"/>
        <v>13.69863</v>
      </c>
      <c r="D413" s="4">
        <v>0.6991364957179369</v>
      </c>
      <c r="E413" s="4">
        <f t="shared" si="24"/>
        <v>19.335824348088686</v>
      </c>
      <c r="G413" s="4">
        <f t="shared" si="25"/>
        <v>10.664175651911314</v>
      </c>
    </row>
    <row r="414" spans="1:7" s="4" customFormat="1" x14ac:dyDescent="0.4">
      <c r="A414" s="4">
        <v>412</v>
      </c>
      <c r="C414" s="13">
        <f t="shared" si="23"/>
        <v>13.731959999999999</v>
      </c>
      <c r="D414" s="4">
        <v>0.67862796226923983</v>
      </c>
      <c r="E414" s="4">
        <f t="shared" si="24"/>
        <v>19.09926569925037</v>
      </c>
      <c r="G414" s="4">
        <f t="shared" si="25"/>
        <v>10.90073430074963</v>
      </c>
    </row>
    <row r="415" spans="1:7" s="4" customFormat="1" x14ac:dyDescent="0.4">
      <c r="A415" s="4">
        <v>413</v>
      </c>
      <c r="C415" s="13">
        <f t="shared" si="23"/>
        <v>13.76529</v>
      </c>
      <c r="D415" s="4">
        <v>0.6692549365507402</v>
      </c>
      <c r="E415" s="4">
        <f t="shared" si="24"/>
        <v>18.990332798490915</v>
      </c>
      <c r="G415" s="4">
        <f t="shared" si="25"/>
        <v>11.009667201509085</v>
      </c>
    </row>
    <row r="416" spans="1:7" s="4" customFormat="1" x14ac:dyDescent="0.4">
      <c r="A416" s="4">
        <v>414</v>
      </c>
      <c r="C416" s="13">
        <f t="shared" si="23"/>
        <v>13.79862</v>
      </c>
      <c r="D416" s="4">
        <v>0.67627894246342668</v>
      </c>
      <c r="E416" s="4">
        <f t="shared" si="24"/>
        <v>19.072012228911312</v>
      </c>
      <c r="G416" s="4">
        <f t="shared" si="25"/>
        <v>10.927987771088688</v>
      </c>
    </row>
    <row r="417" spans="1:7" s="4" customFormat="1" x14ac:dyDescent="0.4">
      <c r="A417" s="4">
        <v>415</v>
      </c>
      <c r="C417" s="13">
        <f t="shared" si="23"/>
        <v>13.831949999999999</v>
      </c>
      <c r="D417" s="4">
        <v>0.63494513842124223</v>
      </c>
      <c r="E417" s="4">
        <f t="shared" si="24"/>
        <v>18.587585535493368</v>
      </c>
      <c r="G417" s="4">
        <f t="shared" si="25"/>
        <v>11.412414464506632</v>
      </c>
    </row>
    <row r="418" spans="1:7" s="4" customFormat="1" x14ac:dyDescent="0.4">
      <c r="A418" s="4">
        <v>416</v>
      </c>
      <c r="C418" s="13">
        <f t="shared" si="23"/>
        <v>13.865279999999998</v>
      </c>
      <c r="D418" s="4">
        <v>0.60610387319704251</v>
      </c>
      <c r="E418" s="4">
        <f t="shared" si="24"/>
        <v>18.244698628740327</v>
      </c>
      <c r="G418" s="4">
        <f t="shared" si="25"/>
        <v>11.755301371259673</v>
      </c>
    </row>
    <row r="419" spans="1:7" s="4" customFormat="1" x14ac:dyDescent="0.4">
      <c r="A419" s="4">
        <v>417</v>
      </c>
      <c r="C419" s="13">
        <f t="shared" si="23"/>
        <v>13.89861</v>
      </c>
      <c r="D419" s="4">
        <v>0.60579883329721262</v>
      </c>
      <c r="E419" s="4">
        <f t="shared" si="24"/>
        <v>18.241053221198982</v>
      </c>
      <c r="G419" s="4">
        <f t="shared" si="25"/>
        <v>11.758946778801018</v>
      </c>
    </row>
    <row r="420" spans="1:7" s="4" customFormat="1" x14ac:dyDescent="0.4">
      <c r="A420" s="4">
        <v>418</v>
      </c>
      <c r="C420" s="13">
        <f t="shared" si="23"/>
        <v>13.931939999999999</v>
      </c>
      <c r="D420" s="4">
        <v>0.60281321679336175</v>
      </c>
      <c r="E420" s="4">
        <f t="shared" si="24"/>
        <v>18.205353785074816</v>
      </c>
      <c r="G420" s="4">
        <f t="shared" si="25"/>
        <v>11.794646214925184</v>
      </c>
    </row>
    <row r="421" spans="1:7" s="4" customFormat="1" x14ac:dyDescent="0.4">
      <c r="A421" s="4">
        <v>419</v>
      </c>
      <c r="C421" s="13">
        <f t="shared" si="23"/>
        <v>13.965269999999999</v>
      </c>
      <c r="D421" s="4">
        <v>0.56666473467603584</v>
      </c>
      <c r="E421" s="4">
        <f t="shared" si="24"/>
        <v>17.770536812796855</v>
      </c>
      <c r="G421" s="4">
        <f t="shared" si="25"/>
        <v>12.229463187203145</v>
      </c>
    </row>
    <row r="422" spans="1:7" s="4" customFormat="1" x14ac:dyDescent="0.4">
      <c r="A422" s="4">
        <v>420</v>
      </c>
      <c r="C422" s="13">
        <f t="shared" si="23"/>
        <v>13.9986</v>
      </c>
      <c r="D422" s="4">
        <v>0.57437396734273594</v>
      </c>
      <c r="E422" s="4">
        <f t="shared" si="24"/>
        <v>17.863640354640054</v>
      </c>
      <c r="G422" s="4">
        <f t="shared" si="25"/>
        <v>12.136359645359946</v>
      </c>
    </row>
    <row r="424" spans="1:7" x14ac:dyDescent="0.4">
      <c r="B424" t="s">
        <v>33</v>
      </c>
      <c r="C424" s="1">
        <v>2.09979</v>
      </c>
    </row>
    <row r="425" spans="1:7" x14ac:dyDescent="0.4">
      <c r="B425" s="1" t="s">
        <v>32</v>
      </c>
      <c r="C425" s="1">
        <f>C424*6</f>
        <v>12.598739999999999</v>
      </c>
    </row>
    <row r="426" spans="1:7" x14ac:dyDescent="0.4">
      <c r="B426" s="1" t="s">
        <v>34</v>
      </c>
      <c r="C426" s="1">
        <f>2*PI()/C425</f>
        <v>0.49871537210701916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2869-24EE-425A-B7FC-31D9446D2135}">
  <dimension ref="A1:I177"/>
  <sheetViews>
    <sheetView topLeftCell="A49" zoomScale="115" zoomScaleNormal="115" workbookViewId="0">
      <selection activeCell="C179" sqref="C179"/>
    </sheetView>
  </sheetViews>
  <sheetFormatPr defaultRowHeight="13.9" x14ac:dyDescent="0.4"/>
  <cols>
    <col min="2" max="3" width="10.53125" customWidth="1"/>
    <col min="4" max="4" width="10.53125" style="4" customWidth="1"/>
    <col min="5" max="6" width="9.06640625" style="4"/>
    <col min="7" max="9" width="9.06640625" style="7"/>
  </cols>
  <sheetData>
    <row r="1" spans="1:6" x14ac:dyDescent="0.4">
      <c r="A1" t="s">
        <v>11</v>
      </c>
      <c r="B1" s="2" t="s">
        <v>12</v>
      </c>
      <c r="C1" s="2" t="s">
        <v>6</v>
      </c>
      <c r="D1" s="6"/>
      <c r="E1" s="9" t="s">
        <v>16</v>
      </c>
      <c r="F1" s="9"/>
    </row>
    <row r="2" spans="1:6" x14ac:dyDescent="0.4">
      <c r="D2" s="10" t="s">
        <v>18</v>
      </c>
      <c r="E2" s="4">
        <f>2*PI()/B71</f>
        <v>1.1773540403581966</v>
      </c>
      <c r="F2" s="4" t="s">
        <v>10</v>
      </c>
    </row>
    <row r="3" spans="1:6" x14ac:dyDescent="0.4">
      <c r="D3" s="4" t="s">
        <v>19</v>
      </c>
      <c r="E3" s="4" t="s">
        <v>5</v>
      </c>
      <c r="F3" s="4" t="s">
        <v>2</v>
      </c>
    </row>
    <row r="4" spans="1:6" x14ac:dyDescent="0.4">
      <c r="B4">
        <v>0</v>
      </c>
      <c r="C4" t="s">
        <v>13</v>
      </c>
      <c r="D4" s="4">
        <v>0</v>
      </c>
      <c r="E4" s="4">
        <f>B4*E72</f>
        <v>0</v>
      </c>
      <c r="F4" s="5">
        <v>6.9669999999999996</v>
      </c>
    </row>
    <row r="5" spans="1:6" x14ac:dyDescent="0.4">
      <c r="B5" s="3">
        <v>9.2999999999999999E-2</v>
      </c>
      <c r="C5" s="3"/>
      <c r="D5" s="8">
        <f>B5</f>
        <v>9.2999999999999999E-2</v>
      </c>
      <c r="E5" s="4">
        <f>B5*1.177354</f>
        <v>0.10949392199999999</v>
      </c>
      <c r="F5" s="5">
        <v>7.4009999999999998</v>
      </c>
    </row>
    <row r="6" spans="1:6" x14ac:dyDescent="0.4">
      <c r="B6" s="3">
        <v>0.186</v>
      </c>
      <c r="C6" s="3"/>
      <c r="D6" s="8">
        <f t="shared" ref="D6:D69" si="0">B6</f>
        <v>0.186</v>
      </c>
      <c r="E6" s="4">
        <f t="shared" ref="E6:E69" si="1">B6*1.177354</f>
        <v>0.21898784399999999</v>
      </c>
      <c r="F6" s="5">
        <v>9.5340000000000007</v>
      </c>
    </row>
    <row r="7" spans="1:6" x14ac:dyDescent="0.4">
      <c r="B7" s="3">
        <v>0.27900000000000003</v>
      </c>
      <c r="C7" s="3"/>
      <c r="D7" s="8">
        <f t="shared" si="0"/>
        <v>0.27900000000000003</v>
      </c>
      <c r="E7" s="4">
        <f t="shared" si="1"/>
        <v>0.32848176600000001</v>
      </c>
      <c r="F7" s="5">
        <v>9.9670000000000005</v>
      </c>
    </row>
    <row r="8" spans="1:6" x14ac:dyDescent="0.4">
      <c r="B8" s="3">
        <v>0.372</v>
      </c>
      <c r="C8" s="3"/>
      <c r="D8" s="8">
        <f t="shared" si="0"/>
        <v>0.372</v>
      </c>
      <c r="E8" s="4">
        <f t="shared" si="1"/>
        <v>0.43797568799999997</v>
      </c>
      <c r="F8" s="5">
        <v>11.000999999999999</v>
      </c>
    </row>
    <row r="9" spans="1:6" x14ac:dyDescent="0.4">
      <c r="B9" s="3">
        <v>0.46500000000000002</v>
      </c>
      <c r="C9" s="3"/>
      <c r="D9" s="8">
        <f t="shared" si="0"/>
        <v>0.46500000000000002</v>
      </c>
      <c r="E9" s="4">
        <f t="shared" si="1"/>
        <v>0.54746961000000005</v>
      </c>
      <c r="F9" s="5">
        <v>11.417</v>
      </c>
    </row>
    <row r="10" spans="1:6" x14ac:dyDescent="0.4">
      <c r="B10" s="3">
        <v>0.55800000000000005</v>
      </c>
      <c r="C10" s="3"/>
      <c r="D10" s="8">
        <f t="shared" si="0"/>
        <v>0.55800000000000005</v>
      </c>
      <c r="E10" s="4">
        <f t="shared" si="1"/>
        <v>0.65696353200000002</v>
      </c>
      <c r="F10" s="5">
        <v>12.584</v>
      </c>
    </row>
    <row r="11" spans="1:6" x14ac:dyDescent="0.4">
      <c r="B11" s="3">
        <v>0.65100000000000002</v>
      </c>
      <c r="C11" s="3"/>
      <c r="D11" s="8">
        <f t="shared" si="0"/>
        <v>0.65100000000000002</v>
      </c>
      <c r="E11" s="4">
        <f t="shared" si="1"/>
        <v>0.76645745399999998</v>
      </c>
      <c r="F11" s="5">
        <v>12.750999999999999</v>
      </c>
    </row>
    <row r="12" spans="1:6" x14ac:dyDescent="0.4">
      <c r="B12" s="3">
        <v>0.74399999999999999</v>
      </c>
      <c r="C12" s="3"/>
      <c r="D12" s="8">
        <f t="shared" si="0"/>
        <v>0.74399999999999999</v>
      </c>
      <c r="E12" s="4">
        <f t="shared" si="1"/>
        <v>0.87595137599999995</v>
      </c>
      <c r="F12" s="5">
        <v>13.134</v>
      </c>
    </row>
    <row r="13" spans="1:6" x14ac:dyDescent="0.4">
      <c r="B13" s="3">
        <v>0.83699999999999997</v>
      </c>
      <c r="C13" s="3"/>
      <c r="D13" s="8">
        <f t="shared" si="0"/>
        <v>0.83699999999999997</v>
      </c>
      <c r="E13" s="4">
        <f t="shared" si="1"/>
        <v>0.98544529800000003</v>
      </c>
      <c r="F13" s="5">
        <v>14.417</v>
      </c>
    </row>
    <row r="14" spans="1:6" x14ac:dyDescent="0.4">
      <c r="B14" s="3">
        <v>0.93</v>
      </c>
      <c r="C14" s="3"/>
      <c r="D14" s="8">
        <f t="shared" si="0"/>
        <v>0.93</v>
      </c>
      <c r="E14" s="4">
        <f t="shared" si="1"/>
        <v>1.0949392200000001</v>
      </c>
      <c r="F14" s="5">
        <v>14.433999999999999</v>
      </c>
    </row>
    <row r="15" spans="1:6" x14ac:dyDescent="0.4">
      <c r="B15" s="3">
        <v>1.0229999999999999</v>
      </c>
      <c r="C15" s="3"/>
      <c r="D15" s="8">
        <f t="shared" si="0"/>
        <v>1.0229999999999999</v>
      </c>
      <c r="E15" s="4">
        <f t="shared" si="1"/>
        <v>1.2044331419999998</v>
      </c>
      <c r="F15" s="5">
        <v>13.951000000000001</v>
      </c>
    </row>
    <row r="16" spans="1:6" x14ac:dyDescent="0.4">
      <c r="B16" s="3">
        <v>1.1160000000000001</v>
      </c>
      <c r="C16" s="3"/>
      <c r="D16" s="8">
        <f t="shared" si="0"/>
        <v>1.1160000000000001</v>
      </c>
      <c r="E16" s="4">
        <f t="shared" si="1"/>
        <v>1.313927064</v>
      </c>
      <c r="F16" s="5">
        <v>13.651</v>
      </c>
    </row>
    <row r="17" spans="2:6" x14ac:dyDescent="0.4">
      <c r="B17" s="3">
        <v>1.2090000000000001</v>
      </c>
      <c r="C17" s="3"/>
      <c r="D17" s="8">
        <f t="shared" si="0"/>
        <v>1.2090000000000001</v>
      </c>
      <c r="E17" s="4">
        <f t="shared" si="1"/>
        <v>1.423420986</v>
      </c>
      <c r="F17" s="5">
        <v>13.617000000000001</v>
      </c>
    </row>
    <row r="18" spans="2:6" x14ac:dyDescent="0.4">
      <c r="B18" s="3">
        <v>1.302</v>
      </c>
      <c r="C18" s="3"/>
      <c r="D18" s="8">
        <f t="shared" si="0"/>
        <v>1.302</v>
      </c>
      <c r="E18" s="4">
        <f t="shared" si="1"/>
        <v>1.532914908</v>
      </c>
      <c r="F18" s="5">
        <v>12.351000000000001</v>
      </c>
    </row>
    <row r="19" spans="2:6" x14ac:dyDescent="0.4">
      <c r="B19" s="3">
        <v>1.395</v>
      </c>
      <c r="C19" s="3"/>
      <c r="D19" s="8">
        <f t="shared" si="0"/>
        <v>1.395</v>
      </c>
      <c r="E19" s="4">
        <f t="shared" si="1"/>
        <v>1.6424088299999999</v>
      </c>
      <c r="F19" s="5">
        <v>11.967000000000001</v>
      </c>
    </row>
    <row r="20" spans="2:6" x14ac:dyDescent="0.4">
      <c r="B20" s="3">
        <v>1.488</v>
      </c>
      <c r="C20" s="3"/>
      <c r="D20" s="8">
        <f t="shared" si="0"/>
        <v>1.488</v>
      </c>
      <c r="E20" s="4">
        <f t="shared" si="1"/>
        <v>1.7519027519999999</v>
      </c>
      <c r="F20" s="5">
        <v>10.351000000000001</v>
      </c>
    </row>
    <row r="21" spans="2:6" x14ac:dyDescent="0.4">
      <c r="B21" s="3">
        <v>1.581</v>
      </c>
      <c r="C21" s="3"/>
      <c r="D21" s="8">
        <f t="shared" si="0"/>
        <v>1.581</v>
      </c>
      <c r="E21" s="4">
        <f t="shared" si="1"/>
        <v>1.8613966739999999</v>
      </c>
      <c r="F21" s="5">
        <v>10.101000000000001</v>
      </c>
    </row>
    <row r="22" spans="2:6" x14ac:dyDescent="0.4">
      <c r="B22" s="3">
        <v>1.6739999999999999</v>
      </c>
      <c r="C22" s="3"/>
      <c r="D22" s="8">
        <f t="shared" si="0"/>
        <v>1.6739999999999999</v>
      </c>
      <c r="E22" s="4">
        <f t="shared" si="1"/>
        <v>1.9708905960000001</v>
      </c>
      <c r="F22" s="5">
        <v>6.734</v>
      </c>
    </row>
    <row r="23" spans="2:6" x14ac:dyDescent="0.4">
      <c r="B23" s="3">
        <v>1.7669999999999999</v>
      </c>
      <c r="C23" t="s">
        <v>14</v>
      </c>
      <c r="D23" s="8">
        <f t="shared" si="0"/>
        <v>1.7669999999999999</v>
      </c>
      <c r="E23" s="4">
        <f t="shared" si="1"/>
        <v>2.0803845179999998</v>
      </c>
      <c r="F23" s="5">
        <v>6.9669999999999996</v>
      </c>
    </row>
    <row r="24" spans="2:6" x14ac:dyDescent="0.4">
      <c r="B24" s="3">
        <v>1.86</v>
      </c>
      <c r="C24" s="3"/>
      <c r="D24" s="8">
        <f t="shared" si="0"/>
        <v>1.86</v>
      </c>
      <c r="E24" s="4">
        <f t="shared" si="1"/>
        <v>2.1898784400000002</v>
      </c>
      <c r="F24" s="5">
        <v>7.4009999999999998</v>
      </c>
    </row>
    <row r="25" spans="2:6" x14ac:dyDescent="0.4">
      <c r="B25" s="3">
        <v>1.9530000000000001</v>
      </c>
      <c r="C25" s="3"/>
      <c r="D25" s="8">
        <f t="shared" si="0"/>
        <v>1.9530000000000001</v>
      </c>
      <c r="E25" s="4">
        <f t="shared" si="1"/>
        <v>2.2993723620000002</v>
      </c>
      <c r="F25" s="5">
        <v>9.5340000000000007</v>
      </c>
    </row>
    <row r="26" spans="2:6" x14ac:dyDescent="0.4">
      <c r="B26" s="3">
        <v>2.0459999999999998</v>
      </c>
      <c r="C26" s="3"/>
      <c r="D26" s="8">
        <f t="shared" si="0"/>
        <v>2.0459999999999998</v>
      </c>
      <c r="E26" s="4">
        <f t="shared" si="1"/>
        <v>2.4088662839999997</v>
      </c>
      <c r="F26" s="5">
        <v>9.9670000000000005</v>
      </c>
    </row>
    <row r="27" spans="2:6" x14ac:dyDescent="0.4">
      <c r="B27" s="3">
        <v>2.1389999999999998</v>
      </c>
      <c r="C27" s="3"/>
      <c r="D27" s="8">
        <f t="shared" si="0"/>
        <v>2.1389999999999998</v>
      </c>
      <c r="E27" s="4">
        <f t="shared" si="1"/>
        <v>2.5183602059999997</v>
      </c>
      <c r="F27" s="5">
        <v>11.000999999999999</v>
      </c>
    </row>
    <row r="28" spans="2:6" x14ac:dyDescent="0.4">
      <c r="B28" s="3">
        <v>2.2320000000000002</v>
      </c>
      <c r="C28" s="3"/>
      <c r="D28" s="8">
        <f t="shared" si="0"/>
        <v>2.2320000000000002</v>
      </c>
      <c r="E28" s="4">
        <f t="shared" si="1"/>
        <v>2.6278541280000001</v>
      </c>
      <c r="F28" s="5">
        <v>11.417</v>
      </c>
    </row>
    <row r="29" spans="2:6" x14ac:dyDescent="0.4">
      <c r="B29" s="3">
        <v>2.3250000000000002</v>
      </c>
      <c r="C29" s="3"/>
      <c r="D29" s="8">
        <f t="shared" si="0"/>
        <v>2.3250000000000002</v>
      </c>
      <c r="E29" s="4">
        <f t="shared" si="1"/>
        <v>2.73734805</v>
      </c>
      <c r="F29" s="5">
        <v>12.584</v>
      </c>
    </row>
    <row r="30" spans="2:6" x14ac:dyDescent="0.4">
      <c r="B30" s="3">
        <v>2.4180000000000001</v>
      </c>
      <c r="C30" s="3"/>
      <c r="D30" s="8">
        <f t="shared" si="0"/>
        <v>2.4180000000000001</v>
      </c>
      <c r="E30" s="4">
        <f t="shared" si="1"/>
        <v>2.846841972</v>
      </c>
      <c r="F30" s="5">
        <v>12.750999999999999</v>
      </c>
    </row>
    <row r="31" spans="2:6" x14ac:dyDescent="0.4">
      <c r="B31" s="3">
        <v>2.5110000000000001</v>
      </c>
      <c r="C31" s="3"/>
      <c r="D31" s="8">
        <f t="shared" si="0"/>
        <v>2.5110000000000001</v>
      </c>
      <c r="E31" s="4">
        <f t="shared" si="1"/>
        <v>2.956335894</v>
      </c>
      <c r="F31" s="5">
        <v>13.134</v>
      </c>
    </row>
    <row r="32" spans="2:6" x14ac:dyDescent="0.4">
      <c r="B32" s="3">
        <v>2.6040000000000001</v>
      </c>
      <c r="C32" s="3"/>
      <c r="D32" s="8">
        <f t="shared" si="0"/>
        <v>2.6040000000000001</v>
      </c>
      <c r="E32" s="4">
        <f t="shared" si="1"/>
        <v>3.0658298159999999</v>
      </c>
      <c r="F32" s="5">
        <v>14.417</v>
      </c>
    </row>
    <row r="33" spans="2:6" x14ac:dyDescent="0.4">
      <c r="B33" s="3">
        <v>2.6970000000000001</v>
      </c>
      <c r="C33" s="3"/>
      <c r="D33" s="8">
        <f t="shared" si="0"/>
        <v>2.6970000000000001</v>
      </c>
      <c r="E33" s="4">
        <f t="shared" si="1"/>
        <v>3.1753237379999999</v>
      </c>
      <c r="F33" s="5">
        <v>14.433999999999999</v>
      </c>
    </row>
    <row r="34" spans="2:6" x14ac:dyDescent="0.4">
      <c r="B34" s="3">
        <v>2.79</v>
      </c>
      <c r="C34" s="3"/>
      <c r="D34" s="8">
        <f t="shared" si="0"/>
        <v>2.79</v>
      </c>
      <c r="E34" s="4">
        <f t="shared" si="1"/>
        <v>3.2848176599999999</v>
      </c>
      <c r="F34" s="5">
        <v>13.951000000000001</v>
      </c>
    </row>
    <row r="35" spans="2:6" x14ac:dyDescent="0.4">
      <c r="B35" s="3">
        <v>2.883</v>
      </c>
      <c r="C35" s="3"/>
      <c r="D35" s="8">
        <f t="shared" si="0"/>
        <v>2.883</v>
      </c>
      <c r="E35" s="4">
        <f t="shared" si="1"/>
        <v>3.3943115819999998</v>
      </c>
      <c r="F35" s="5">
        <v>13.651</v>
      </c>
    </row>
    <row r="36" spans="2:6" x14ac:dyDescent="0.4">
      <c r="B36" s="3">
        <v>2.976</v>
      </c>
      <c r="C36" s="3"/>
      <c r="D36" s="8">
        <f t="shared" si="0"/>
        <v>2.976</v>
      </c>
      <c r="E36" s="4">
        <f t="shared" si="1"/>
        <v>3.5038055039999998</v>
      </c>
      <c r="F36" s="5">
        <v>13.617000000000001</v>
      </c>
    </row>
    <row r="37" spans="2:6" x14ac:dyDescent="0.4">
      <c r="B37" s="3">
        <v>3.069</v>
      </c>
      <c r="C37" s="3"/>
      <c r="D37" s="8">
        <f t="shared" si="0"/>
        <v>3.069</v>
      </c>
      <c r="E37" s="4">
        <f t="shared" si="1"/>
        <v>3.6132994259999998</v>
      </c>
      <c r="F37" s="5">
        <v>12.351000000000001</v>
      </c>
    </row>
    <row r="38" spans="2:6" x14ac:dyDescent="0.4">
      <c r="B38" s="3">
        <v>3.1619999999999999</v>
      </c>
      <c r="C38" s="3"/>
      <c r="D38" s="8">
        <f t="shared" si="0"/>
        <v>3.1619999999999999</v>
      </c>
      <c r="E38" s="4">
        <f t="shared" si="1"/>
        <v>3.7227933479999997</v>
      </c>
      <c r="F38" s="5">
        <v>11.967000000000001</v>
      </c>
    </row>
    <row r="39" spans="2:6" x14ac:dyDescent="0.4">
      <c r="B39" s="3">
        <v>3.2549999999999999</v>
      </c>
      <c r="C39" s="3"/>
      <c r="D39" s="8">
        <f t="shared" si="0"/>
        <v>3.2549999999999999</v>
      </c>
      <c r="E39" s="4">
        <f t="shared" si="1"/>
        <v>3.8322872700000001</v>
      </c>
      <c r="F39" s="5">
        <v>10.351000000000001</v>
      </c>
    </row>
    <row r="40" spans="2:6" x14ac:dyDescent="0.4">
      <c r="B40" s="3">
        <v>3.3479999999999999</v>
      </c>
      <c r="C40" s="3"/>
      <c r="D40" s="8">
        <f t="shared" si="0"/>
        <v>3.3479999999999999</v>
      </c>
      <c r="E40" s="4">
        <f t="shared" si="1"/>
        <v>3.9417811920000001</v>
      </c>
      <c r="F40" s="5">
        <v>10.101000000000001</v>
      </c>
    </row>
    <row r="41" spans="2:6" x14ac:dyDescent="0.4">
      <c r="B41" s="3">
        <v>3.4409999999999998</v>
      </c>
      <c r="C41" s="3"/>
      <c r="D41" s="8">
        <f t="shared" si="0"/>
        <v>3.4409999999999998</v>
      </c>
      <c r="E41" s="4">
        <f t="shared" si="1"/>
        <v>4.0512751140000001</v>
      </c>
      <c r="F41" s="5">
        <v>6.734</v>
      </c>
    </row>
    <row r="42" spans="2:6" x14ac:dyDescent="0.4">
      <c r="B42" s="3">
        <v>3.5339999999999998</v>
      </c>
      <c r="C42" t="s">
        <v>15</v>
      </c>
      <c r="D42" s="8">
        <f t="shared" si="0"/>
        <v>3.5339999999999998</v>
      </c>
      <c r="E42" s="4">
        <f t="shared" si="1"/>
        <v>4.1607690359999996</v>
      </c>
      <c r="F42" s="5">
        <v>6.9669999999999996</v>
      </c>
    </row>
    <row r="43" spans="2:6" x14ac:dyDescent="0.4">
      <c r="B43" s="3">
        <v>3.6269999999999998</v>
      </c>
      <c r="C43" s="3"/>
      <c r="D43" s="8">
        <f t="shared" si="0"/>
        <v>3.6269999999999998</v>
      </c>
      <c r="E43" s="4">
        <f t="shared" si="1"/>
        <v>4.270262958</v>
      </c>
      <c r="F43" s="5">
        <v>7.4009999999999998</v>
      </c>
    </row>
    <row r="44" spans="2:6" x14ac:dyDescent="0.4">
      <c r="B44" s="3">
        <v>3.72</v>
      </c>
      <c r="C44" s="3"/>
      <c r="D44" s="8">
        <f t="shared" si="0"/>
        <v>3.72</v>
      </c>
      <c r="E44" s="4">
        <f t="shared" si="1"/>
        <v>4.3797568800000004</v>
      </c>
      <c r="F44" s="5">
        <v>9.5340000000000007</v>
      </c>
    </row>
    <row r="45" spans="2:6" x14ac:dyDescent="0.4">
      <c r="B45" s="3">
        <v>3.8130000000000002</v>
      </c>
      <c r="C45" s="3"/>
      <c r="D45" s="8">
        <f t="shared" si="0"/>
        <v>3.8130000000000002</v>
      </c>
      <c r="E45" s="4">
        <f t="shared" si="1"/>
        <v>4.4892508019999999</v>
      </c>
      <c r="F45" s="5">
        <v>9.9670000000000005</v>
      </c>
    </row>
    <row r="46" spans="2:6" x14ac:dyDescent="0.4">
      <c r="B46" s="3">
        <v>3.9060000000000001</v>
      </c>
      <c r="C46" s="3"/>
      <c r="D46" s="8">
        <f t="shared" si="0"/>
        <v>3.9060000000000001</v>
      </c>
      <c r="E46" s="4">
        <f t="shared" si="1"/>
        <v>4.5987447240000003</v>
      </c>
      <c r="F46" s="5">
        <v>11.000999999999999</v>
      </c>
    </row>
    <row r="47" spans="2:6" x14ac:dyDescent="0.4">
      <c r="B47" s="3">
        <v>3.9990000000000001</v>
      </c>
      <c r="C47" s="3"/>
      <c r="D47" s="8">
        <f t="shared" si="0"/>
        <v>3.9990000000000001</v>
      </c>
      <c r="E47" s="4">
        <f t="shared" si="1"/>
        <v>4.7082386459999999</v>
      </c>
      <c r="F47" s="5">
        <v>11.417</v>
      </c>
    </row>
    <row r="48" spans="2:6" x14ac:dyDescent="0.4">
      <c r="B48" s="3">
        <v>4.0919999999999996</v>
      </c>
      <c r="C48" s="3"/>
      <c r="D48" s="8">
        <f t="shared" si="0"/>
        <v>4.0919999999999996</v>
      </c>
      <c r="E48" s="4">
        <f t="shared" si="1"/>
        <v>4.8177325679999994</v>
      </c>
      <c r="F48" s="5">
        <v>12.584</v>
      </c>
    </row>
    <row r="49" spans="1:9" x14ac:dyDescent="0.4">
      <c r="B49" s="3">
        <v>4.1849999999999996</v>
      </c>
      <c r="C49" s="3"/>
      <c r="D49" s="8">
        <f t="shared" si="0"/>
        <v>4.1849999999999996</v>
      </c>
      <c r="E49" s="4">
        <f t="shared" si="1"/>
        <v>4.9272264899999998</v>
      </c>
      <c r="F49" s="5">
        <v>12.750999999999999</v>
      </c>
      <c r="G49" s="12" t="s">
        <v>17</v>
      </c>
      <c r="H49" s="7">
        <v>1.1773540403581966</v>
      </c>
      <c r="I49" s="7" t="s">
        <v>21</v>
      </c>
    </row>
    <row r="50" spans="1:9" x14ac:dyDescent="0.4">
      <c r="B50" s="3">
        <v>4.2779999999999996</v>
      </c>
      <c r="C50" s="3"/>
      <c r="D50" s="8">
        <f t="shared" si="0"/>
        <v>4.2779999999999996</v>
      </c>
      <c r="E50" s="4">
        <f t="shared" si="1"/>
        <v>5.0367204119999993</v>
      </c>
      <c r="F50" s="5">
        <v>13.134</v>
      </c>
      <c r="G50" s="7" t="s">
        <v>20</v>
      </c>
      <c r="H50" s="7" t="s">
        <v>5</v>
      </c>
      <c r="I50" s="7" t="s">
        <v>2</v>
      </c>
    </row>
    <row r="51" spans="1:9" x14ac:dyDescent="0.4">
      <c r="A51">
        <v>3.3300000000000003E-2</v>
      </c>
      <c r="B51" s="3">
        <v>4.3710000000000004</v>
      </c>
      <c r="C51" t="s">
        <v>7</v>
      </c>
      <c r="D51" s="8">
        <f t="shared" si="0"/>
        <v>4.3710000000000004</v>
      </c>
      <c r="E51" s="4">
        <f t="shared" si="1"/>
        <v>5.1462143340000006</v>
      </c>
      <c r="F51" s="4">
        <v>13.284000000000001</v>
      </c>
      <c r="G51" s="11">
        <f>B51-4.371</f>
        <v>0</v>
      </c>
    </row>
    <row r="52" spans="1:9" x14ac:dyDescent="0.4">
      <c r="A52">
        <v>3.3300000000000003E-2</v>
      </c>
      <c r="B52" s="3">
        <f t="shared" ref="B52:B72" si="2">A51+B51</f>
        <v>4.4043000000000001</v>
      </c>
      <c r="C52" s="3"/>
      <c r="D52" s="8">
        <f t="shared" si="0"/>
        <v>4.4043000000000001</v>
      </c>
      <c r="E52" s="4">
        <f t="shared" si="1"/>
        <v>5.1854202222000003</v>
      </c>
      <c r="F52" s="4">
        <v>13.058999999999999</v>
      </c>
      <c r="G52" s="11">
        <f t="shared" ref="G52:G115" si="3">B52-4.371</f>
        <v>3.3299999999999663E-2</v>
      </c>
    </row>
    <row r="53" spans="1:9" x14ac:dyDescent="0.4">
      <c r="A53">
        <v>3.3300000000000003E-2</v>
      </c>
      <c r="B53" s="3">
        <f t="shared" si="2"/>
        <v>4.4375999999999998</v>
      </c>
      <c r="C53" s="3"/>
      <c r="D53" s="8">
        <f t="shared" si="0"/>
        <v>4.4375999999999998</v>
      </c>
      <c r="E53" s="4">
        <f t="shared" si="1"/>
        <v>5.2246261104</v>
      </c>
      <c r="F53" s="4">
        <v>10.867000000000001</v>
      </c>
      <c r="G53" s="11">
        <f t="shared" si="3"/>
        <v>6.6599999999999326E-2</v>
      </c>
    </row>
    <row r="54" spans="1:9" x14ac:dyDescent="0.4">
      <c r="A54">
        <v>3.3300000000000003E-2</v>
      </c>
      <c r="B54" s="3">
        <f t="shared" si="2"/>
        <v>4.4708999999999994</v>
      </c>
      <c r="C54" s="3"/>
      <c r="D54" s="8">
        <f t="shared" si="0"/>
        <v>4.4708999999999994</v>
      </c>
      <c r="E54" s="4">
        <f t="shared" si="1"/>
        <v>5.2638319985999997</v>
      </c>
      <c r="F54" s="4">
        <v>8.2010000000000005</v>
      </c>
      <c r="G54" s="11">
        <f t="shared" si="3"/>
        <v>9.989999999999899E-2</v>
      </c>
    </row>
    <row r="55" spans="1:9" x14ac:dyDescent="0.4">
      <c r="A55">
        <v>3.3300000000000003E-2</v>
      </c>
      <c r="B55" s="3">
        <f t="shared" si="2"/>
        <v>4.5041999999999991</v>
      </c>
      <c r="C55" s="3"/>
      <c r="D55" s="8">
        <f t="shared" si="0"/>
        <v>4.5041999999999991</v>
      </c>
      <c r="E55" s="4">
        <f t="shared" si="1"/>
        <v>5.3030378867999985</v>
      </c>
      <c r="F55" s="4">
        <v>8.1010000000000009</v>
      </c>
      <c r="G55" s="11">
        <f t="shared" si="3"/>
        <v>0.13319999999999865</v>
      </c>
    </row>
    <row r="56" spans="1:9" x14ac:dyDescent="0.4">
      <c r="A56">
        <v>3.3300000000000003E-2</v>
      </c>
      <c r="B56" s="3">
        <f t="shared" si="2"/>
        <v>4.5374999999999988</v>
      </c>
      <c r="C56" s="3"/>
      <c r="D56" s="8">
        <f t="shared" si="0"/>
        <v>4.5374999999999988</v>
      </c>
      <c r="E56" s="4">
        <f t="shared" si="1"/>
        <v>5.3422437749999983</v>
      </c>
      <c r="F56" s="4">
        <v>8.0709999999999997</v>
      </c>
      <c r="G56" s="11">
        <f t="shared" si="3"/>
        <v>0.16649999999999832</v>
      </c>
    </row>
    <row r="57" spans="1:9" x14ac:dyDescent="0.4">
      <c r="A57">
        <v>3.3300000000000003E-2</v>
      </c>
      <c r="B57" s="3">
        <f t="shared" si="2"/>
        <v>4.5707999999999984</v>
      </c>
      <c r="C57" s="3"/>
      <c r="D57" s="8">
        <f t="shared" si="0"/>
        <v>4.5707999999999984</v>
      </c>
      <c r="E57" s="4">
        <f t="shared" si="1"/>
        <v>5.381449663199998</v>
      </c>
      <c r="F57" s="4">
        <v>7.5839999999999996</v>
      </c>
      <c r="G57" s="11">
        <f t="shared" si="3"/>
        <v>0.19979999999999798</v>
      </c>
    </row>
    <row r="58" spans="1:9" x14ac:dyDescent="0.4">
      <c r="A58">
        <v>3.3300000000000003E-2</v>
      </c>
      <c r="B58" s="3">
        <f t="shared" si="2"/>
        <v>4.6040999999999981</v>
      </c>
      <c r="C58" s="3"/>
      <c r="D58" s="8">
        <f t="shared" si="0"/>
        <v>4.6040999999999981</v>
      </c>
      <c r="E58" s="4">
        <f t="shared" si="1"/>
        <v>5.4206555513999977</v>
      </c>
      <c r="F58" s="4">
        <v>7.3840000000000003</v>
      </c>
      <c r="G58" s="11">
        <f t="shared" si="3"/>
        <v>0.23309999999999764</v>
      </c>
    </row>
    <row r="59" spans="1:9" x14ac:dyDescent="0.4">
      <c r="A59">
        <v>3.3300000000000003E-2</v>
      </c>
      <c r="B59" s="3">
        <f t="shared" si="2"/>
        <v>4.6373999999999977</v>
      </c>
      <c r="C59" s="3"/>
      <c r="D59" s="8">
        <f t="shared" si="0"/>
        <v>4.6373999999999977</v>
      </c>
      <c r="E59" s="4">
        <f t="shared" si="1"/>
        <v>5.4598614395999974</v>
      </c>
      <c r="F59" s="4">
        <v>6.4509999999999996</v>
      </c>
      <c r="G59" s="11">
        <f t="shared" si="3"/>
        <v>0.26639999999999731</v>
      </c>
    </row>
    <row r="60" spans="1:9" x14ac:dyDescent="0.4">
      <c r="A60">
        <v>3.3300000000000003E-2</v>
      </c>
      <c r="B60" s="3">
        <f t="shared" si="2"/>
        <v>4.6706999999999974</v>
      </c>
      <c r="C60" s="3"/>
      <c r="D60" s="8">
        <f t="shared" si="0"/>
        <v>4.6706999999999974</v>
      </c>
      <c r="E60" s="4">
        <f t="shared" si="1"/>
        <v>5.4990673277999971</v>
      </c>
      <c r="F60" s="4">
        <v>6.1509999999999998</v>
      </c>
      <c r="G60" s="11">
        <f t="shared" si="3"/>
        <v>0.29969999999999697</v>
      </c>
    </row>
    <row r="61" spans="1:9" x14ac:dyDescent="0.4">
      <c r="A61">
        <v>3.3300000000000003E-2</v>
      </c>
      <c r="B61" s="3">
        <f t="shared" si="2"/>
        <v>4.7039999999999971</v>
      </c>
      <c r="C61" t="s">
        <v>8</v>
      </c>
      <c r="D61" s="8">
        <f t="shared" si="0"/>
        <v>4.7039999999999971</v>
      </c>
      <c r="E61" s="4">
        <f t="shared" si="1"/>
        <v>5.5382732159999968</v>
      </c>
      <c r="F61" s="4">
        <v>3.984</v>
      </c>
      <c r="G61" s="11">
        <f t="shared" si="3"/>
        <v>0.33299999999999663</v>
      </c>
    </row>
    <row r="62" spans="1:9" x14ac:dyDescent="0.4">
      <c r="A62">
        <v>6.6600000000000006E-2</v>
      </c>
      <c r="B62" s="3">
        <f t="shared" si="2"/>
        <v>4.7372999999999967</v>
      </c>
      <c r="C62" s="3"/>
      <c r="D62" s="8">
        <f t="shared" si="0"/>
        <v>4.7372999999999967</v>
      </c>
      <c r="E62" s="4">
        <f t="shared" si="1"/>
        <v>5.5774791041999965</v>
      </c>
      <c r="F62" s="4">
        <v>9.1340000000000003</v>
      </c>
      <c r="G62" s="11">
        <f t="shared" si="3"/>
        <v>0.3662999999999963</v>
      </c>
    </row>
    <row r="63" spans="1:9" x14ac:dyDescent="0.4">
      <c r="A63">
        <v>6.6600000000000006E-2</v>
      </c>
      <c r="B63" s="3">
        <f t="shared" si="2"/>
        <v>4.803899999999997</v>
      </c>
      <c r="C63" s="3"/>
      <c r="D63" s="8">
        <f t="shared" si="0"/>
        <v>4.803899999999997</v>
      </c>
      <c r="E63" s="4">
        <f t="shared" si="1"/>
        <v>5.6558908805999968</v>
      </c>
      <c r="F63" s="4">
        <v>10.183999999999999</v>
      </c>
      <c r="G63" s="11">
        <f t="shared" si="3"/>
        <v>0.43289999999999651</v>
      </c>
    </row>
    <row r="64" spans="1:9" x14ac:dyDescent="0.4">
      <c r="A64">
        <v>6.6600000000000006E-2</v>
      </c>
      <c r="B64" s="3">
        <f t="shared" si="2"/>
        <v>4.8704999999999972</v>
      </c>
      <c r="C64" s="3"/>
      <c r="D64" s="8">
        <f t="shared" si="0"/>
        <v>4.8704999999999972</v>
      </c>
      <c r="E64" s="4">
        <f t="shared" si="1"/>
        <v>5.7343026569999971</v>
      </c>
      <c r="F64" s="4">
        <v>11.159000000000001</v>
      </c>
      <c r="G64" s="11">
        <f t="shared" si="3"/>
        <v>0.49949999999999672</v>
      </c>
    </row>
    <row r="65" spans="1:7" x14ac:dyDescent="0.4">
      <c r="A65">
        <v>6.6600000000000006E-2</v>
      </c>
      <c r="B65" s="3">
        <f t="shared" si="2"/>
        <v>4.9370999999999974</v>
      </c>
      <c r="C65" s="3"/>
      <c r="D65" s="8">
        <f t="shared" si="0"/>
        <v>4.9370999999999974</v>
      </c>
      <c r="E65" s="4">
        <f t="shared" si="1"/>
        <v>5.8127144333999974</v>
      </c>
      <c r="F65" s="4">
        <v>12.659000000000001</v>
      </c>
      <c r="G65" s="11">
        <f t="shared" si="3"/>
        <v>0.56609999999999694</v>
      </c>
    </row>
    <row r="66" spans="1:7" x14ac:dyDescent="0.4">
      <c r="A66">
        <v>6.6600000000000006E-2</v>
      </c>
      <c r="B66" s="3">
        <f t="shared" si="2"/>
        <v>5.0036999999999976</v>
      </c>
      <c r="C66" s="3"/>
      <c r="D66" s="8">
        <f t="shared" si="0"/>
        <v>5.0036999999999976</v>
      </c>
      <c r="E66" s="4">
        <f t="shared" si="1"/>
        <v>5.8911262097999968</v>
      </c>
      <c r="F66" s="4">
        <v>14.308999999999999</v>
      </c>
      <c r="G66" s="11">
        <f t="shared" si="3"/>
        <v>0.63269999999999715</v>
      </c>
    </row>
    <row r="67" spans="1:7" x14ac:dyDescent="0.4">
      <c r="A67">
        <v>6.6600000000000006E-2</v>
      </c>
      <c r="B67" s="3">
        <f t="shared" si="2"/>
        <v>5.0702999999999978</v>
      </c>
      <c r="C67" t="s">
        <v>9</v>
      </c>
      <c r="D67" s="8">
        <f t="shared" si="0"/>
        <v>5.0702999999999978</v>
      </c>
      <c r="E67" s="4">
        <f t="shared" si="1"/>
        <v>5.9695379861999971</v>
      </c>
      <c r="F67" s="4">
        <v>13.334</v>
      </c>
      <c r="G67" s="11">
        <f t="shared" si="3"/>
        <v>0.69929999999999737</v>
      </c>
    </row>
    <row r="68" spans="1:7" x14ac:dyDescent="0.4">
      <c r="A68">
        <v>6.6600000000000006E-2</v>
      </c>
      <c r="B68" s="3">
        <f t="shared" si="2"/>
        <v>5.136899999999998</v>
      </c>
      <c r="C68" s="3"/>
      <c r="D68" s="8">
        <f t="shared" si="0"/>
        <v>5.136899999999998</v>
      </c>
      <c r="E68" s="4">
        <f t="shared" si="1"/>
        <v>6.0479497625999974</v>
      </c>
      <c r="F68" s="4">
        <v>10.409000000000001</v>
      </c>
      <c r="G68" s="11">
        <f t="shared" si="3"/>
        <v>0.76589999999999758</v>
      </c>
    </row>
    <row r="69" spans="1:7" x14ac:dyDescent="0.4">
      <c r="A69">
        <v>6.6600000000000006E-2</v>
      </c>
      <c r="B69" s="3">
        <f t="shared" si="2"/>
        <v>5.2034999999999982</v>
      </c>
      <c r="C69" s="3"/>
      <c r="D69" s="8">
        <f t="shared" si="0"/>
        <v>5.2034999999999982</v>
      </c>
      <c r="E69" s="4">
        <f t="shared" si="1"/>
        <v>6.1263615389999977</v>
      </c>
      <c r="F69" s="4">
        <v>6.609</v>
      </c>
      <c r="G69" s="11">
        <f t="shared" si="3"/>
        <v>0.8324999999999978</v>
      </c>
    </row>
    <row r="70" spans="1:7" x14ac:dyDescent="0.4">
      <c r="A70">
        <v>6.6600000000000006E-2</v>
      </c>
      <c r="B70" s="3">
        <f t="shared" si="2"/>
        <v>5.2700999999999985</v>
      </c>
      <c r="C70" s="3"/>
      <c r="D70" s="8">
        <f t="shared" ref="D70:D71" si="4">B70</f>
        <v>5.2700999999999985</v>
      </c>
      <c r="E70" s="4">
        <f t="shared" ref="E70:E71" si="5">B70*1.177354</f>
        <v>6.204773315399998</v>
      </c>
      <c r="F70" s="4">
        <v>4.1589999999999998</v>
      </c>
      <c r="G70" s="11">
        <f t="shared" si="3"/>
        <v>0.89909999999999801</v>
      </c>
    </row>
    <row r="71" spans="1:7" x14ac:dyDescent="0.4">
      <c r="A71">
        <v>3.3300000000000003E-2</v>
      </c>
      <c r="B71" s="3">
        <f t="shared" si="2"/>
        <v>5.3366999999999987</v>
      </c>
      <c r="C71" s="3"/>
      <c r="D71" s="8">
        <f t="shared" si="4"/>
        <v>5.3366999999999987</v>
      </c>
      <c r="E71" s="4">
        <f t="shared" si="5"/>
        <v>6.2831850917999983</v>
      </c>
      <c r="F71" s="5">
        <v>6.9669999999999996</v>
      </c>
      <c r="G71" s="11">
        <f t="shared" si="3"/>
        <v>0.96569999999999823</v>
      </c>
    </row>
    <row r="72" spans="1:7" x14ac:dyDescent="0.4">
      <c r="A72">
        <v>3.3300000000000003E-2</v>
      </c>
      <c r="B72" s="3">
        <f t="shared" si="2"/>
        <v>5.3699999999999983</v>
      </c>
      <c r="C72" t="s">
        <v>22</v>
      </c>
      <c r="G72" s="11">
        <f t="shared" si="3"/>
        <v>0.99899999999999789</v>
      </c>
    </row>
    <row r="73" spans="1:7" x14ac:dyDescent="0.4">
      <c r="A73">
        <v>3.3300000000000003E-2</v>
      </c>
      <c r="B73" s="3">
        <f>B72+A72</f>
        <v>5.403299999999998</v>
      </c>
      <c r="G73" s="11">
        <f t="shared" si="3"/>
        <v>1.0322999999999976</v>
      </c>
    </row>
    <row r="74" spans="1:7" x14ac:dyDescent="0.4">
      <c r="A74">
        <v>3.3300000000000003E-2</v>
      </c>
      <c r="B74" s="3">
        <f t="shared" ref="B74:B137" si="6">B73+A73</f>
        <v>5.4365999999999977</v>
      </c>
      <c r="G74" s="11">
        <f t="shared" si="3"/>
        <v>1.0655999999999972</v>
      </c>
    </row>
    <row r="75" spans="1:7" x14ac:dyDescent="0.4">
      <c r="A75">
        <v>3.3300000000000003E-2</v>
      </c>
      <c r="B75" s="3">
        <f t="shared" si="6"/>
        <v>5.4698999999999973</v>
      </c>
      <c r="G75" s="11">
        <f t="shared" si="3"/>
        <v>1.0988999999999969</v>
      </c>
    </row>
    <row r="76" spans="1:7" x14ac:dyDescent="0.4">
      <c r="A76">
        <v>3.3300000000000003E-2</v>
      </c>
      <c r="B76" s="3">
        <f t="shared" si="6"/>
        <v>5.503199999999997</v>
      </c>
      <c r="G76" s="11">
        <f t="shared" si="3"/>
        <v>1.1321999999999965</v>
      </c>
    </row>
    <row r="77" spans="1:7" x14ac:dyDescent="0.4">
      <c r="A77">
        <v>3.3300000000000003E-2</v>
      </c>
      <c r="B77" s="3">
        <f t="shared" si="6"/>
        <v>5.5364999999999966</v>
      </c>
      <c r="G77" s="11">
        <f t="shared" si="3"/>
        <v>1.1654999999999962</v>
      </c>
    </row>
    <row r="78" spans="1:7" x14ac:dyDescent="0.4">
      <c r="A78">
        <v>3.3300000000000003E-2</v>
      </c>
      <c r="B78" s="3">
        <f t="shared" si="6"/>
        <v>5.5697999999999963</v>
      </c>
      <c r="G78" s="11">
        <f t="shared" si="3"/>
        <v>1.1987999999999959</v>
      </c>
    </row>
    <row r="79" spans="1:7" x14ac:dyDescent="0.4">
      <c r="A79">
        <v>3.3300000000000003E-2</v>
      </c>
      <c r="B79" s="3">
        <f t="shared" si="6"/>
        <v>5.603099999999996</v>
      </c>
      <c r="G79" s="11">
        <f t="shared" si="3"/>
        <v>1.2320999999999955</v>
      </c>
    </row>
    <row r="80" spans="1:7" x14ac:dyDescent="0.4">
      <c r="A80">
        <v>3.3300000000000003E-2</v>
      </c>
      <c r="B80" s="3">
        <f t="shared" si="6"/>
        <v>5.6363999999999956</v>
      </c>
      <c r="G80" s="11">
        <f t="shared" si="3"/>
        <v>1.2653999999999952</v>
      </c>
    </row>
    <row r="81" spans="1:7" x14ac:dyDescent="0.4">
      <c r="A81">
        <v>3.3300000000000003E-2</v>
      </c>
      <c r="B81" s="3">
        <f t="shared" si="6"/>
        <v>5.6696999999999953</v>
      </c>
      <c r="G81" s="11">
        <f t="shared" si="3"/>
        <v>1.2986999999999949</v>
      </c>
    </row>
    <row r="82" spans="1:7" x14ac:dyDescent="0.4">
      <c r="A82">
        <v>3.3300000000000003E-2</v>
      </c>
      <c r="B82" s="3">
        <f t="shared" si="6"/>
        <v>5.702999999999995</v>
      </c>
      <c r="G82" s="11">
        <f t="shared" si="3"/>
        <v>1.3319999999999945</v>
      </c>
    </row>
    <row r="83" spans="1:7" x14ac:dyDescent="0.4">
      <c r="A83">
        <v>3.3300000000000003E-2</v>
      </c>
      <c r="B83" s="3">
        <f t="shared" si="6"/>
        <v>5.7362999999999946</v>
      </c>
      <c r="G83" s="11">
        <f t="shared" si="3"/>
        <v>1.3652999999999942</v>
      </c>
    </row>
    <row r="84" spans="1:7" x14ac:dyDescent="0.4">
      <c r="A84">
        <v>3.3300000000000003E-2</v>
      </c>
      <c r="B84" s="3">
        <f t="shared" si="6"/>
        <v>5.7695999999999943</v>
      </c>
      <c r="G84" s="11">
        <f t="shared" si="3"/>
        <v>1.3985999999999938</v>
      </c>
    </row>
    <row r="85" spans="1:7" x14ac:dyDescent="0.4">
      <c r="A85">
        <v>3.3300000000000003E-2</v>
      </c>
      <c r="B85" s="3">
        <f t="shared" si="6"/>
        <v>5.802899999999994</v>
      </c>
      <c r="G85" s="11">
        <f t="shared" si="3"/>
        <v>1.4318999999999935</v>
      </c>
    </row>
    <row r="86" spans="1:7" x14ac:dyDescent="0.4">
      <c r="A86">
        <v>3.3300000000000003E-2</v>
      </c>
      <c r="B86" s="3">
        <f t="shared" si="6"/>
        <v>5.8361999999999936</v>
      </c>
      <c r="G86" s="11">
        <f t="shared" si="3"/>
        <v>1.4651999999999932</v>
      </c>
    </row>
    <row r="87" spans="1:7" x14ac:dyDescent="0.4">
      <c r="A87">
        <v>3.3300000000000003E-2</v>
      </c>
      <c r="B87" s="3">
        <f t="shared" si="6"/>
        <v>5.8694999999999933</v>
      </c>
      <c r="G87" s="11">
        <f t="shared" si="3"/>
        <v>1.4984999999999928</v>
      </c>
    </row>
    <row r="88" spans="1:7" x14ac:dyDescent="0.4">
      <c r="A88">
        <v>3.3300000000000003E-2</v>
      </c>
      <c r="B88" s="3">
        <f t="shared" si="6"/>
        <v>5.9027999999999929</v>
      </c>
      <c r="G88" s="11">
        <f t="shared" si="3"/>
        <v>1.5317999999999925</v>
      </c>
    </row>
    <row r="89" spans="1:7" x14ac:dyDescent="0.4">
      <c r="A89">
        <v>3.3300000000000003E-2</v>
      </c>
      <c r="B89" s="3">
        <f t="shared" si="6"/>
        <v>5.9360999999999926</v>
      </c>
      <c r="G89" s="11">
        <f t="shared" si="3"/>
        <v>1.5650999999999922</v>
      </c>
    </row>
    <row r="90" spans="1:7" x14ac:dyDescent="0.4">
      <c r="A90">
        <v>3.3300000000000003E-2</v>
      </c>
      <c r="B90" s="3">
        <f t="shared" si="6"/>
        <v>5.9693999999999923</v>
      </c>
      <c r="G90" s="11">
        <f t="shared" si="3"/>
        <v>1.5983999999999918</v>
      </c>
    </row>
    <row r="91" spans="1:7" x14ac:dyDescent="0.4">
      <c r="A91">
        <v>3.3300000000000003E-2</v>
      </c>
      <c r="B91" s="3">
        <f t="shared" si="6"/>
        <v>6.0026999999999919</v>
      </c>
      <c r="G91" s="11">
        <f t="shared" si="3"/>
        <v>1.6316999999999915</v>
      </c>
    </row>
    <row r="92" spans="1:7" x14ac:dyDescent="0.4">
      <c r="A92">
        <v>3.3300000000000003E-2</v>
      </c>
      <c r="B92" s="3">
        <f t="shared" si="6"/>
        <v>6.0359999999999916</v>
      </c>
      <c r="G92" s="11">
        <f t="shared" si="3"/>
        <v>1.6649999999999912</v>
      </c>
    </row>
    <row r="93" spans="1:7" x14ac:dyDescent="0.4">
      <c r="A93">
        <v>3.3300000000000003E-2</v>
      </c>
      <c r="B93" s="3">
        <f t="shared" si="6"/>
        <v>6.0692999999999913</v>
      </c>
      <c r="G93" s="11">
        <f t="shared" si="3"/>
        <v>1.6982999999999908</v>
      </c>
    </row>
    <row r="94" spans="1:7" x14ac:dyDescent="0.4">
      <c r="A94">
        <v>3.3300000000000003E-2</v>
      </c>
      <c r="B94" s="3">
        <f t="shared" si="6"/>
        <v>6.1025999999999909</v>
      </c>
      <c r="G94" s="11">
        <f t="shared" si="3"/>
        <v>1.7315999999999905</v>
      </c>
    </row>
    <row r="95" spans="1:7" x14ac:dyDescent="0.4">
      <c r="A95">
        <v>3.3300000000000003E-2</v>
      </c>
      <c r="B95" s="3">
        <f t="shared" si="6"/>
        <v>6.1358999999999906</v>
      </c>
      <c r="G95" s="11">
        <f t="shared" si="3"/>
        <v>1.7648999999999901</v>
      </c>
    </row>
    <row r="96" spans="1:7" x14ac:dyDescent="0.4">
      <c r="A96">
        <v>3.3300000000000003E-2</v>
      </c>
      <c r="B96" s="3">
        <f t="shared" si="6"/>
        <v>6.1691999999999902</v>
      </c>
      <c r="G96" s="11">
        <f t="shared" si="3"/>
        <v>1.7981999999999898</v>
      </c>
    </row>
    <row r="97" spans="1:7" x14ac:dyDescent="0.4">
      <c r="A97">
        <v>3.3300000000000003E-2</v>
      </c>
      <c r="B97" s="3">
        <f t="shared" si="6"/>
        <v>6.2024999999999899</v>
      </c>
      <c r="G97" s="11">
        <f t="shared" si="3"/>
        <v>1.8314999999999895</v>
      </c>
    </row>
    <row r="98" spans="1:7" x14ac:dyDescent="0.4">
      <c r="A98">
        <v>3.3300000000000003E-2</v>
      </c>
      <c r="B98" s="3">
        <f t="shared" si="6"/>
        <v>6.2357999999999896</v>
      </c>
      <c r="G98" s="11">
        <f t="shared" si="3"/>
        <v>1.8647999999999891</v>
      </c>
    </row>
    <row r="99" spans="1:7" x14ac:dyDescent="0.4">
      <c r="A99">
        <v>3.3300000000000003E-2</v>
      </c>
      <c r="B99" s="3">
        <f t="shared" si="6"/>
        <v>6.2690999999999892</v>
      </c>
      <c r="G99" s="11">
        <f t="shared" si="3"/>
        <v>1.8980999999999888</v>
      </c>
    </row>
    <row r="100" spans="1:7" x14ac:dyDescent="0.4">
      <c r="A100">
        <v>3.3300000000000003E-2</v>
      </c>
      <c r="B100" s="3">
        <f t="shared" si="6"/>
        <v>6.3023999999999889</v>
      </c>
      <c r="G100" s="11">
        <f t="shared" si="3"/>
        <v>1.9313999999999885</v>
      </c>
    </row>
    <row r="101" spans="1:7" x14ac:dyDescent="0.4">
      <c r="A101">
        <v>3.3300000000000003E-2</v>
      </c>
      <c r="B101" s="3">
        <f t="shared" si="6"/>
        <v>6.3356999999999886</v>
      </c>
      <c r="G101" s="11">
        <f t="shared" si="3"/>
        <v>1.9646999999999881</v>
      </c>
    </row>
    <row r="102" spans="1:7" x14ac:dyDescent="0.4">
      <c r="A102">
        <v>3.3300000000000003E-2</v>
      </c>
      <c r="B102" s="3">
        <f t="shared" si="6"/>
        <v>6.3689999999999882</v>
      </c>
      <c r="G102" s="11">
        <f t="shared" si="3"/>
        <v>1.9979999999999878</v>
      </c>
    </row>
    <row r="103" spans="1:7" x14ac:dyDescent="0.4">
      <c r="A103">
        <v>3.3300000000000003E-2</v>
      </c>
      <c r="B103" s="3">
        <f t="shared" si="6"/>
        <v>6.4022999999999879</v>
      </c>
      <c r="G103" s="11">
        <f t="shared" si="3"/>
        <v>2.0312999999999874</v>
      </c>
    </row>
    <row r="104" spans="1:7" x14ac:dyDescent="0.4">
      <c r="A104">
        <v>3.3300000000000003E-2</v>
      </c>
      <c r="B104" s="3">
        <f t="shared" si="6"/>
        <v>6.4355999999999876</v>
      </c>
      <c r="G104" s="11">
        <f t="shared" si="3"/>
        <v>2.0645999999999871</v>
      </c>
    </row>
    <row r="105" spans="1:7" x14ac:dyDescent="0.4">
      <c r="A105">
        <v>3.3300000000000003E-2</v>
      </c>
      <c r="B105" s="3">
        <f t="shared" si="6"/>
        <v>6.4688999999999872</v>
      </c>
      <c r="G105" s="11">
        <f t="shared" si="3"/>
        <v>2.0978999999999868</v>
      </c>
    </row>
    <row r="106" spans="1:7" x14ac:dyDescent="0.4">
      <c r="A106">
        <v>3.3300000000000003E-2</v>
      </c>
      <c r="B106" s="3">
        <f t="shared" si="6"/>
        <v>6.5021999999999869</v>
      </c>
      <c r="G106" s="11">
        <f t="shared" si="3"/>
        <v>2.1311999999999864</v>
      </c>
    </row>
    <row r="107" spans="1:7" x14ac:dyDescent="0.4">
      <c r="A107">
        <v>3.3300000000000003E-2</v>
      </c>
      <c r="B107" s="3">
        <f t="shared" si="6"/>
        <v>6.5354999999999865</v>
      </c>
      <c r="G107" s="11">
        <f t="shared" si="3"/>
        <v>2.1644999999999861</v>
      </c>
    </row>
    <row r="108" spans="1:7" x14ac:dyDescent="0.4">
      <c r="A108">
        <v>3.3300000000000003E-2</v>
      </c>
      <c r="B108" s="3">
        <f t="shared" si="6"/>
        <v>6.5687999999999862</v>
      </c>
      <c r="G108" s="11">
        <f t="shared" si="3"/>
        <v>2.1977999999999858</v>
      </c>
    </row>
    <row r="109" spans="1:7" x14ac:dyDescent="0.4">
      <c r="A109">
        <v>3.3300000000000003E-2</v>
      </c>
      <c r="B109" s="3">
        <f t="shared" si="6"/>
        <v>6.6020999999999859</v>
      </c>
      <c r="G109" s="11">
        <f t="shared" si="3"/>
        <v>2.2310999999999854</v>
      </c>
    </row>
    <row r="110" spans="1:7" x14ac:dyDescent="0.4">
      <c r="A110">
        <v>3.3300000000000003E-2</v>
      </c>
      <c r="B110" s="3">
        <f t="shared" si="6"/>
        <v>6.6353999999999855</v>
      </c>
      <c r="G110" s="11">
        <f t="shared" si="3"/>
        <v>2.2643999999999851</v>
      </c>
    </row>
    <row r="111" spans="1:7" x14ac:dyDescent="0.4">
      <c r="A111">
        <v>3.3300000000000003E-2</v>
      </c>
      <c r="B111" s="3">
        <f t="shared" si="6"/>
        <v>6.6686999999999852</v>
      </c>
      <c r="G111" s="11">
        <f t="shared" si="3"/>
        <v>2.2976999999999848</v>
      </c>
    </row>
    <row r="112" spans="1:7" x14ac:dyDescent="0.4">
      <c r="A112">
        <v>3.3300000000000003E-2</v>
      </c>
      <c r="B112" s="3">
        <f t="shared" si="6"/>
        <v>6.7019999999999849</v>
      </c>
      <c r="G112" s="11">
        <f t="shared" si="3"/>
        <v>2.3309999999999844</v>
      </c>
    </row>
    <row r="113" spans="1:7" x14ac:dyDescent="0.4">
      <c r="A113">
        <v>3.3300000000000003E-2</v>
      </c>
      <c r="B113" s="3">
        <f t="shared" si="6"/>
        <v>6.7352999999999845</v>
      </c>
      <c r="G113" s="11">
        <f t="shared" si="3"/>
        <v>2.3642999999999841</v>
      </c>
    </row>
    <row r="114" spans="1:7" x14ac:dyDescent="0.4">
      <c r="A114">
        <v>3.3300000000000003E-2</v>
      </c>
      <c r="B114" s="3">
        <f t="shared" si="6"/>
        <v>6.7685999999999842</v>
      </c>
      <c r="G114" s="11">
        <f t="shared" si="3"/>
        <v>2.3975999999999837</v>
      </c>
    </row>
    <row r="115" spans="1:7" x14ac:dyDescent="0.4">
      <c r="A115">
        <v>3.3300000000000003E-2</v>
      </c>
      <c r="B115" s="3">
        <f t="shared" si="6"/>
        <v>6.8018999999999838</v>
      </c>
      <c r="G115" s="11">
        <f t="shared" si="3"/>
        <v>2.4308999999999834</v>
      </c>
    </row>
    <row r="116" spans="1:7" x14ac:dyDescent="0.4">
      <c r="A116">
        <v>3.3300000000000003E-2</v>
      </c>
      <c r="B116" s="3">
        <f t="shared" si="6"/>
        <v>6.8351999999999835</v>
      </c>
      <c r="G116" s="11">
        <f t="shared" ref="G116:G177" si="7">B116-4.371</f>
        <v>2.4641999999999831</v>
      </c>
    </row>
    <row r="117" spans="1:7" x14ac:dyDescent="0.4">
      <c r="A117">
        <v>3.3300000000000003E-2</v>
      </c>
      <c r="B117" s="3">
        <f t="shared" si="6"/>
        <v>6.8684999999999832</v>
      </c>
      <c r="G117" s="11">
        <f t="shared" si="7"/>
        <v>2.4974999999999827</v>
      </c>
    </row>
    <row r="118" spans="1:7" x14ac:dyDescent="0.4">
      <c r="A118">
        <v>3.3300000000000003E-2</v>
      </c>
      <c r="B118" s="3">
        <f t="shared" si="6"/>
        <v>6.9017999999999828</v>
      </c>
      <c r="G118" s="11">
        <f t="shared" si="7"/>
        <v>2.5307999999999824</v>
      </c>
    </row>
    <row r="119" spans="1:7" x14ac:dyDescent="0.4">
      <c r="A119">
        <v>3.3300000000000003E-2</v>
      </c>
      <c r="B119" s="3">
        <f t="shared" si="6"/>
        <v>6.9350999999999825</v>
      </c>
      <c r="G119" s="11">
        <f t="shared" si="7"/>
        <v>2.5640999999999821</v>
      </c>
    </row>
    <row r="120" spans="1:7" x14ac:dyDescent="0.4">
      <c r="A120">
        <v>3.3300000000000003E-2</v>
      </c>
      <c r="B120" s="3">
        <f t="shared" si="6"/>
        <v>6.9683999999999822</v>
      </c>
      <c r="G120" s="11">
        <f t="shared" si="7"/>
        <v>2.5973999999999817</v>
      </c>
    </row>
    <row r="121" spans="1:7" x14ac:dyDescent="0.4">
      <c r="A121">
        <v>3.3300000000000003E-2</v>
      </c>
      <c r="B121" s="3">
        <f t="shared" si="6"/>
        <v>7.0016999999999818</v>
      </c>
      <c r="G121" s="11">
        <f t="shared" si="7"/>
        <v>2.6306999999999814</v>
      </c>
    </row>
    <row r="122" spans="1:7" x14ac:dyDescent="0.4">
      <c r="A122">
        <v>3.3300000000000003E-2</v>
      </c>
      <c r="B122" s="3">
        <f t="shared" si="6"/>
        <v>7.0349999999999815</v>
      </c>
      <c r="G122" s="11">
        <f t="shared" si="7"/>
        <v>2.663999999999981</v>
      </c>
    </row>
    <row r="123" spans="1:7" x14ac:dyDescent="0.4">
      <c r="A123">
        <v>3.3300000000000003E-2</v>
      </c>
      <c r="B123" s="3">
        <f t="shared" si="6"/>
        <v>7.0682999999999812</v>
      </c>
      <c r="G123" s="11">
        <f t="shared" si="7"/>
        <v>2.6972999999999807</v>
      </c>
    </row>
    <row r="124" spans="1:7" x14ac:dyDescent="0.4">
      <c r="A124">
        <v>3.3300000000000003E-2</v>
      </c>
      <c r="B124" s="3">
        <f t="shared" si="6"/>
        <v>7.1015999999999808</v>
      </c>
      <c r="G124" s="11">
        <f t="shared" si="7"/>
        <v>2.7305999999999804</v>
      </c>
    </row>
    <row r="125" spans="1:7" x14ac:dyDescent="0.4">
      <c r="A125">
        <v>3.3300000000000003E-2</v>
      </c>
      <c r="B125" s="3">
        <f t="shared" si="6"/>
        <v>7.1348999999999805</v>
      </c>
      <c r="G125" s="11">
        <f t="shared" si="7"/>
        <v>2.76389999999998</v>
      </c>
    </row>
    <row r="126" spans="1:7" x14ac:dyDescent="0.4">
      <c r="A126">
        <v>3.3300000000000003E-2</v>
      </c>
      <c r="B126" s="3">
        <f t="shared" si="6"/>
        <v>7.1681999999999801</v>
      </c>
      <c r="G126" s="11">
        <f t="shared" si="7"/>
        <v>2.7971999999999797</v>
      </c>
    </row>
    <row r="127" spans="1:7" x14ac:dyDescent="0.4">
      <c r="A127">
        <v>3.3300000000000003E-2</v>
      </c>
      <c r="B127" s="3">
        <f t="shared" si="6"/>
        <v>7.2014999999999798</v>
      </c>
      <c r="G127" s="11">
        <f t="shared" si="7"/>
        <v>2.8304999999999794</v>
      </c>
    </row>
    <row r="128" spans="1:7" x14ac:dyDescent="0.4">
      <c r="A128">
        <v>3.3300000000000003E-2</v>
      </c>
      <c r="B128" s="3">
        <f t="shared" si="6"/>
        <v>7.2347999999999795</v>
      </c>
      <c r="G128" s="11">
        <f t="shared" si="7"/>
        <v>2.863799999999979</v>
      </c>
    </row>
    <row r="129" spans="1:7" x14ac:dyDescent="0.4">
      <c r="A129">
        <v>3.3300000000000003E-2</v>
      </c>
      <c r="B129" s="3">
        <f t="shared" si="6"/>
        <v>7.2680999999999791</v>
      </c>
      <c r="G129" s="11">
        <f t="shared" si="7"/>
        <v>2.8970999999999787</v>
      </c>
    </row>
    <row r="130" spans="1:7" x14ac:dyDescent="0.4">
      <c r="A130">
        <v>3.3300000000000003E-2</v>
      </c>
      <c r="B130" s="3">
        <f t="shared" si="6"/>
        <v>7.3013999999999788</v>
      </c>
      <c r="G130" s="11">
        <f t="shared" si="7"/>
        <v>2.9303999999999784</v>
      </c>
    </row>
    <row r="131" spans="1:7" x14ac:dyDescent="0.4">
      <c r="A131">
        <v>3.3300000000000003E-2</v>
      </c>
      <c r="B131" s="3">
        <f t="shared" si="6"/>
        <v>7.3346999999999785</v>
      </c>
      <c r="G131" s="11">
        <f t="shared" si="7"/>
        <v>2.963699999999978</v>
      </c>
    </row>
    <row r="132" spans="1:7" x14ac:dyDescent="0.4">
      <c r="A132">
        <v>3.3300000000000003E-2</v>
      </c>
      <c r="B132" s="3">
        <f t="shared" si="6"/>
        <v>7.3679999999999781</v>
      </c>
      <c r="G132" s="11">
        <f t="shared" si="7"/>
        <v>2.9969999999999777</v>
      </c>
    </row>
    <row r="133" spans="1:7" x14ac:dyDescent="0.4">
      <c r="A133">
        <v>3.3300000000000003E-2</v>
      </c>
      <c r="B133" s="3">
        <f t="shared" si="6"/>
        <v>7.4012999999999778</v>
      </c>
      <c r="G133" s="11">
        <f t="shared" si="7"/>
        <v>3.0302999999999773</v>
      </c>
    </row>
    <row r="134" spans="1:7" x14ac:dyDescent="0.4">
      <c r="A134">
        <v>3.3300000000000003E-2</v>
      </c>
      <c r="B134" s="3">
        <f t="shared" si="6"/>
        <v>7.4345999999999774</v>
      </c>
      <c r="G134" s="11">
        <f t="shared" si="7"/>
        <v>3.063599999999977</v>
      </c>
    </row>
    <row r="135" spans="1:7" x14ac:dyDescent="0.4">
      <c r="A135">
        <v>3.3300000000000003E-2</v>
      </c>
      <c r="B135" s="3">
        <f t="shared" si="6"/>
        <v>7.4678999999999771</v>
      </c>
      <c r="G135" s="11">
        <f t="shared" si="7"/>
        <v>3.0968999999999767</v>
      </c>
    </row>
    <row r="136" spans="1:7" x14ac:dyDescent="0.4">
      <c r="A136">
        <v>3.3300000000000003E-2</v>
      </c>
      <c r="B136" s="3">
        <f t="shared" si="6"/>
        <v>7.5011999999999768</v>
      </c>
      <c r="G136" s="11">
        <f t="shared" si="7"/>
        <v>3.1301999999999763</v>
      </c>
    </row>
    <row r="137" spans="1:7" x14ac:dyDescent="0.4">
      <c r="A137">
        <v>3.3300000000000003E-2</v>
      </c>
      <c r="B137" s="3">
        <f t="shared" si="6"/>
        <v>7.5344999999999764</v>
      </c>
      <c r="G137" s="11">
        <f t="shared" si="7"/>
        <v>3.163499999999976</v>
      </c>
    </row>
    <row r="138" spans="1:7" x14ac:dyDescent="0.4">
      <c r="A138">
        <v>3.3300000000000003E-2</v>
      </c>
      <c r="B138" s="3">
        <f t="shared" ref="B138:B177" si="8">B137+A137</f>
        <v>7.5677999999999761</v>
      </c>
      <c r="G138" s="11">
        <f t="shared" si="7"/>
        <v>3.1967999999999757</v>
      </c>
    </row>
    <row r="139" spans="1:7" x14ac:dyDescent="0.4">
      <c r="A139">
        <v>3.3300000000000003E-2</v>
      </c>
      <c r="B139" s="3">
        <f t="shared" si="8"/>
        <v>7.6010999999999758</v>
      </c>
      <c r="G139" s="11">
        <f t="shared" si="7"/>
        <v>3.2300999999999753</v>
      </c>
    </row>
    <row r="140" spans="1:7" x14ac:dyDescent="0.4">
      <c r="A140">
        <v>3.3300000000000003E-2</v>
      </c>
      <c r="B140" s="3">
        <f t="shared" si="8"/>
        <v>7.6343999999999754</v>
      </c>
      <c r="G140" s="11">
        <f t="shared" si="7"/>
        <v>3.263399999999975</v>
      </c>
    </row>
    <row r="141" spans="1:7" x14ac:dyDescent="0.4">
      <c r="A141">
        <v>3.3300000000000003E-2</v>
      </c>
      <c r="B141" s="3">
        <f t="shared" si="8"/>
        <v>7.6676999999999751</v>
      </c>
      <c r="G141" s="11">
        <f t="shared" si="7"/>
        <v>3.2966999999999747</v>
      </c>
    </row>
    <row r="142" spans="1:7" x14ac:dyDescent="0.4">
      <c r="A142">
        <v>3.3300000000000003E-2</v>
      </c>
      <c r="B142" s="3">
        <f t="shared" si="8"/>
        <v>7.7009999999999748</v>
      </c>
      <c r="G142" s="11">
        <f t="shared" si="7"/>
        <v>3.3299999999999743</v>
      </c>
    </row>
    <row r="143" spans="1:7" x14ac:dyDescent="0.4">
      <c r="A143">
        <v>3.3300000000000003E-2</v>
      </c>
      <c r="B143" s="3">
        <f t="shared" si="8"/>
        <v>7.7342999999999744</v>
      </c>
      <c r="G143" s="11">
        <f t="shared" si="7"/>
        <v>3.363299999999974</v>
      </c>
    </row>
    <row r="144" spans="1:7" x14ac:dyDescent="0.4">
      <c r="A144">
        <v>3.3300000000000003E-2</v>
      </c>
      <c r="B144" s="3">
        <f t="shared" si="8"/>
        <v>7.7675999999999741</v>
      </c>
      <c r="G144" s="11">
        <f t="shared" si="7"/>
        <v>3.3965999999999736</v>
      </c>
    </row>
    <row r="145" spans="1:7" x14ac:dyDescent="0.4">
      <c r="A145">
        <v>3.3300000000000003E-2</v>
      </c>
      <c r="B145" s="3">
        <f t="shared" si="8"/>
        <v>7.8008999999999737</v>
      </c>
      <c r="G145" s="11">
        <f t="shared" si="7"/>
        <v>3.4298999999999733</v>
      </c>
    </row>
    <row r="146" spans="1:7" x14ac:dyDescent="0.4">
      <c r="A146">
        <v>3.3300000000000003E-2</v>
      </c>
      <c r="B146" s="3">
        <f t="shared" si="8"/>
        <v>7.8341999999999734</v>
      </c>
      <c r="G146" s="11">
        <f t="shared" si="7"/>
        <v>3.463199999999973</v>
      </c>
    </row>
    <row r="147" spans="1:7" x14ac:dyDescent="0.4">
      <c r="A147">
        <v>3.3300000000000003E-2</v>
      </c>
      <c r="B147" s="3">
        <f t="shared" si="8"/>
        <v>7.8674999999999731</v>
      </c>
      <c r="G147" s="11">
        <f t="shared" si="7"/>
        <v>3.4964999999999726</v>
      </c>
    </row>
    <row r="148" spans="1:7" x14ac:dyDescent="0.4">
      <c r="A148">
        <v>3.3300000000000003E-2</v>
      </c>
      <c r="B148" s="3">
        <f t="shared" si="8"/>
        <v>7.9007999999999727</v>
      </c>
      <c r="G148" s="11">
        <f t="shared" si="7"/>
        <v>3.5297999999999723</v>
      </c>
    </row>
    <row r="149" spans="1:7" x14ac:dyDescent="0.4">
      <c r="A149">
        <v>3.3300000000000003E-2</v>
      </c>
      <c r="B149" s="3">
        <f t="shared" si="8"/>
        <v>7.9340999999999724</v>
      </c>
      <c r="G149" s="11">
        <f t="shared" si="7"/>
        <v>3.563099999999972</v>
      </c>
    </row>
    <row r="150" spans="1:7" x14ac:dyDescent="0.4">
      <c r="A150">
        <v>3.3300000000000003E-2</v>
      </c>
      <c r="B150" s="3">
        <f t="shared" si="8"/>
        <v>7.9673999999999721</v>
      </c>
      <c r="G150" s="11">
        <f t="shared" si="7"/>
        <v>3.5963999999999716</v>
      </c>
    </row>
    <row r="151" spans="1:7" x14ac:dyDescent="0.4">
      <c r="A151">
        <v>3.3300000000000003E-2</v>
      </c>
      <c r="B151" s="3">
        <f t="shared" si="8"/>
        <v>8.0006999999999717</v>
      </c>
      <c r="G151" s="11">
        <f t="shared" si="7"/>
        <v>3.6296999999999713</v>
      </c>
    </row>
    <row r="152" spans="1:7" x14ac:dyDescent="0.4">
      <c r="A152">
        <v>3.3300000000000003E-2</v>
      </c>
      <c r="B152" s="3">
        <f t="shared" si="8"/>
        <v>8.0339999999999723</v>
      </c>
      <c r="G152" s="11">
        <f t="shared" si="7"/>
        <v>3.6629999999999718</v>
      </c>
    </row>
    <row r="153" spans="1:7" x14ac:dyDescent="0.4">
      <c r="A153">
        <v>3.3300000000000003E-2</v>
      </c>
      <c r="B153" s="3">
        <f t="shared" si="8"/>
        <v>8.0672999999999728</v>
      </c>
      <c r="G153" s="11">
        <f t="shared" si="7"/>
        <v>3.6962999999999724</v>
      </c>
    </row>
    <row r="154" spans="1:7" x14ac:dyDescent="0.4">
      <c r="A154">
        <v>3.3300000000000003E-2</v>
      </c>
      <c r="B154" s="3">
        <f t="shared" si="8"/>
        <v>8.1005999999999734</v>
      </c>
      <c r="G154" s="11">
        <f t="shared" si="7"/>
        <v>3.7295999999999729</v>
      </c>
    </row>
    <row r="155" spans="1:7" x14ac:dyDescent="0.4">
      <c r="A155">
        <v>3.3300000000000003E-2</v>
      </c>
      <c r="B155" s="3">
        <f t="shared" si="8"/>
        <v>8.1338999999999739</v>
      </c>
      <c r="G155" s="11">
        <f t="shared" si="7"/>
        <v>3.7628999999999735</v>
      </c>
    </row>
    <row r="156" spans="1:7" x14ac:dyDescent="0.4">
      <c r="A156">
        <v>3.3300000000000003E-2</v>
      </c>
      <c r="B156" s="3">
        <f t="shared" si="8"/>
        <v>8.1671999999999745</v>
      </c>
      <c r="G156" s="11">
        <f t="shared" si="7"/>
        <v>3.796199999999974</v>
      </c>
    </row>
    <row r="157" spans="1:7" x14ac:dyDescent="0.4">
      <c r="A157">
        <v>3.3300000000000003E-2</v>
      </c>
      <c r="B157" s="3">
        <f t="shared" si="8"/>
        <v>8.200499999999975</v>
      </c>
      <c r="G157" s="11">
        <f t="shared" si="7"/>
        <v>3.8294999999999746</v>
      </c>
    </row>
    <row r="158" spans="1:7" x14ac:dyDescent="0.4">
      <c r="A158">
        <v>3.3300000000000003E-2</v>
      </c>
      <c r="B158" s="3">
        <f t="shared" si="8"/>
        <v>8.2337999999999756</v>
      </c>
      <c r="G158" s="11">
        <f t="shared" si="7"/>
        <v>3.8627999999999751</v>
      </c>
    </row>
    <row r="159" spans="1:7" x14ac:dyDescent="0.4">
      <c r="A159">
        <v>3.3300000000000003E-2</v>
      </c>
      <c r="B159" s="3">
        <f t="shared" si="8"/>
        <v>8.2670999999999761</v>
      </c>
      <c r="G159" s="11">
        <f t="shared" si="7"/>
        <v>3.8960999999999757</v>
      </c>
    </row>
    <row r="160" spans="1:7" x14ac:dyDescent="0.4">
      <c r="A160">
        <v>3.3300000000000003E-2</v>
      </c>
      <c r="B160" s="3">
        <f t="shared" si="8"/>
        <v>8.3003999999999767</v>
      </c>
      <c r="G160" s="11">
        <f t="shared" si="7"/>
        <v>3.9293999999999762</v>
      </c>
    </row>
    <row r="161" spans="1:7" x14ac:dyDescent="0.4">
      <c r="A161">
        <v>3.3300000000000003E-2</v>
      </c>
      <c r="B161" s="3">
        <f t="shared" si="8"/>
        <v>8.3336999999999772</v>
      </c>
      <c r="G161" s="11">
        <f t="shared" si="7"/>
        <v>3.9626999999999768</v>
      </c>
    </row>
    <row r="162" spans="1:7" x14ac:dyDescent="0.4">
      <c r="A162">
        <v>3.3300000000000003E-2</v>
      </c>
      <c r="B162" s="3">
        <f t="shared" si="8"/>
        <v>8.3669999999999778</v>
      </c>
      <c r="G162" s="11">
        <f t="shared" si="7"/>
        <v>3.9959999999999773</v>
      </c>
    </row>
    <row r="163" spans="1:7" x14ac:dyDescent="0.4">
      <c r="A163">
        <v>3.3300000000000003E-2</v>
      </c>
      <c r="B163" s="3">
        <f t="shared" si="8"/>
        <v>8.4002999999999783</v>
      </c>
      <c r="G163" s="11">
        <f t="shared" si="7"/>
        <v>4.0292999999999779</v>
      </c>
    </row>
    <row r="164" spans="1:7" x14ac:dyDescent="0.4">
      <c r="A164">
        <v>3.3300000000000003E-2</v>
      </c>
      <c r="B164" s="3">
        <f t="shared" si="8"/>
        <v>8.4335999999999789</v>
      </c>
      <c r="G164" s="11">
        <f t="shared" si="7"/>
        <v>4.0625999999999785</v>
      </c>
    </row>
    <row r="165" spans="1:7" x14ac:dyDescent="0.4">
      <c r="A165">
        <v>3.3300000000000003E-2</v>
      </c>
      <c r="B165" s="3">
        <f t="shared" si="8"/>
        <v>8.4668999999999794</v>
      </c>
      <c r="G165" s="11">
        <f t="shared" si="7"/>
        <v>4.095899999999979</v>
      </c>
    </row>
    <row r="166" spans="1:7" x14ac:dyDescent="0.4">
      <c r="A166">
        <v>3.3300000000000003E-2</v>
      </c>
      <c r="B166" s="3">
        <f t="shared" si="8"/>
        <v>8.50019999999998</v>
      </c>
      <c r="G166" s="11">
        <f t="shared" si="7"/>
        <v>4.1291999999999796</v>
      </c>
    </row>
    <row r="167" spans="1:7" x14ac:dyDescent="0.4">
      <c r="A167">
        <v>3.3300000000000003E-2</v>
      </c>
      <c r="B167" s="3">
        <f t="shared" si="8"/>
        <v>8.5334999999999805</v>
      </c>
      <c r="G167" s="11">
        <f t="shared" si="7"/>
        <v>4.1624999999999801</v>
      </c>
    </row>
    <row r="168" spans="1:7" x14ac:dyDescent="0.4">
      <c r="A168">
        <v>3.3300000000000003E-2</v>
      </c>
      <c r="B168" s="3">
        <f t="shared" si="8"/>
        <v>8.5667999999999811</v>
      </c>
      <c r="G168" s="11">
        <f t="shared" si="7"/>
        <v>4.1957999999999807</v>
      </c>
    </row>
    <row r="169" spans="1:7" x14ac:dyDescent="0.4">
      <c r="A169">
        <v>3.3300000000000003E-2</v>
      </c>
      <c r="B169" s="3">
        <f t="shared" si="8"/>
        <v>8.6000999999999816</v>
      </c>
      <c r="G169" s="11">
        <f t="shared" si="7"/>
        <v>4.2290999999999812</v>
      </c>
    </row>
    <row r="170" spans="1:7" x14ac:dyDescent="0.4">
      <c r="A170">
        <v>3.3300000000000003E-2</v>
      </c>
      <c r="B170" s="3">
        <f t="shared" si="8"/>
        <v>8.6333999999999822</v>
      </c>
      <c r="G170" s="11">
        <f t="shared" si="7"/>
        <v>4.2623999999999818</v>
      </c>
    </row>
    <row r="171" spans="1:7" x14ac:dyDescent="0.4">
      <c r="A171">
        <v>3.3300000000000003E-2</v>
      </c>
      <c r="B171" s="3">
        <f t="shared" si="8"/>
        <v>8.6666999999999828</v>
      </c>
      <c r="G171" s="11">
        <f t="shared" si="7"/>
        <v>4.2956999999999823</v>
      </c>
    </row>
    <row r="172" spans="1:7" x14ac:dyDescent="0.4">
      <c r="A172">
        <v>3.3300000000000003E-2</v>
      </c>
      <c r="B172" s="3">
        <f t="shared" si="8"/>
        <v>8.6999999999999833</v>
      </c>
      <c r="G172" s="11">
        <f t="shared" si="7"/>
        <v>4.3289999999999829</v>
      </c>
    </row>
    <row r="173" spans="1:7" x14ac:dyDescent="0.4">
      <c r="A173">
        <v>3.3300000000000003E-2</v>
      </c>
      <c r="B173" s="3">
        <f t="shared" si="8"/>
        <v>8.7332999999999839</v>
      </c>
      <c r="G173" s="11">
        <f t="shared" si="7"/>
        <v>4.3622999999999834</v>
      </c>
    </row>
    <row r="174" spans="1:7" x14ac:dyDescent="0.4">
      <c r="A174">
        <v>3.3300000000000003E-2</v>
      </c>
      <c r="B174" s="3">
        <f t="shared" si="8"/>
        <v>8.7665999999999844</v>
      </c>
      <c r="G174" s="11">
        <f t="shared" si="7"/>
        <v>4.395599999999984</v>
      </c>
    </row>
    <row r="175" spans="1:7" x14ac:dyDescent="0.4">
      <c r="A175">
        <v>3.3300000000000003E-2</v>
      </c>
      <c r="B175" s="3">
        <f t="shared" si="8"/>
        <v>8.799899999999985</v>
      </c>
      <c r="G175" s="11">
        <f t="shared" si="7"/>
        <v>4.4288999999999845</v>
      </c>
    </row>
    <row r="176" spans="1:7" x14ac:dyDescent="0.4">
      <c r="A176">
        <v>3.3300000000000003E-2</v>
      </c>
      <c r="B176" s="3">
        <f t="shared" si="8"/>
        <v>8.8331999999999855</v>
      </c>
      <c r="G176" s="11">
        <f t="shared" si="7"/>
        <v>4.4621999999999851</v>
      </c>
    </row>
    <row r="177" spans="1:7" x14ac:dyDescent="0.4">
      <c r="A177">
        <v>3.3300000000000003E-2</v>
      </c>
      <c r="B177" s="3">
        <f t="shared" si="8"/>
        <v>8.8664999999999861</v>
      </c>
      <c r="G177" s="11">
        <f t="shared" si="7"/>
        <v>4.4954999999999856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浩然 白</cp:lastModifiedBy>
  <dcterms:created xsi:type="dcterms:W3CDTF">2015-06-05T18:19:34Z</dcterms:created>
  <dcterms:modified xsi:type="dcterms:W3CDTF">2025-12-14T15:50:19Z</dcterms:modified>
</cp:coreProperties>
</file>