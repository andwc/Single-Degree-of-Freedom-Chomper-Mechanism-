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C73F91B-4574-45BF-8BCB-BE6E8CFA78B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3" i="1"/>
  <c r="N71" i="1"/>
  <c r="N2" i="1"/>
  <c r="M50" i="1"/>
  <c r="M51" i="1"/>
  <c r="M52" i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B1" i="1"/>
  <c r="B2" i="1" s="1"/>
  <c r="H21" i="1"/>
  <c r="I21" i="1" s="1"/>
  <c r="J21" i="1" s="1"/>
  <c r="H20" i="1"/>
  <c r="I20" i="1" s="1"/>
  <c r="J20" i="1" s="1"/>
  <c r="H19" i="1"/>
  <c r="I19" i="1" s="1"/>
  <c r="J19" i="1" s="1"/>
  <c r="H18" i="1"/>
  <c r="I18" i="1" s="1"/>
  <c r="J18" i="1" s="1"/>
  <c r="H17" i="1"/>
  <c r="I17" i="1" s="1"/>
  <c r="J17" i="1" s="1"/>
  <c r="H16" i="1"/>
  <c r="I16" i="1" s="1"/>
  <c r="J16" i="1" s="1"/>
  <c r="H15" i="1"/>
  <c r="I15" i="1" s="1"/>
  <c r="J15" i="1" s="1"/>
  <c r="H14" i="1"/>
  <c r="I14" i="1" s="1"/>
  <c r="J14" i="1" s="1"/>
  <c r="H13" i="1"/>
  <c r="I13" i="1" s="1"/>
  <c r="J13" i="1" s="1"/>
  <c r="H12" i="1"/>
  <c r="I12" i="1" s="1"/>
  <c r="J12" i="1" s="1"/>
  <c r="H11" i="1"/>
  <c r="I11" i="1" s="1"/>
  <c r="J11" i="1" s="1"/>
  <c r="H10" i="1"/>
  <c r="I10" i="1" s="1"/>
  <c r="J10" i="1" s="1"/>
  <c r="H9" i="1"/>
  <c r="I9" i="1" s="1"/>
  <c r="J9" i="1" s="1"/>
  <c r="H8" i="1"/>
  <c r="I8" i="1" s="1"/>
  <c r="J8" i="1" s="1"/>
  <c r="H7" i="1"/>
  <c r="I7" i="1" s="1"/>
  <c r="J7" i="1" s="1"/>
  <c r="H6" i="1"/>
  <c r="I6" i="1" s="1"/>
  <c r="J6" i="1" s="1"/>
  <c r="H5" i="1"/>
  <c r="I5" i="1" s="1"/>
  <c r="J5" i="1" s="1"/>
  <c r="H4" i="1"/>
  <c r="I4" i="1" s="1"/>
  <c r="J4" i="1" s="1"/>
  <c r="H3" i="1"/>
  <c r="I3" i="1" s="1"/>
  <c r="J3" i="1" s="1"/>
  <c r="H2" i="1"/>
  <c r="I2" i="1" s="1"/>
  <c r="J2" i="1" s="1"/>
  <c r="D3" i="1"/>
  <c r="E3" i="1" s="1"/>
  <c r="F3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" i="1"/>
  <c r="E2" i="1" s="1"/>
  <c r="F2" i="1" s="1"/>
  <c r="B11" i="1" l="1"/>
  <c r="B4" i="1"/>
  <c r="B7" i="1"/>
  <c r="B9" i="1"/>
  <c r="B10" i="1"/>
  <c r="B12" i="1"/>
  <c r="B13" i="1"/>
  <c r="B14" i="1"/>
  <c r="B3" i="1"/>
  <c r="B5" i="1"/>
  <c r="B6" i="1" s="1"/>
  <c r="B8" i="1"/>
  <c r="B16" i="1"/>
  <c r="B15" i="1"/>
  <c r="B17" i="1"/>
  <c r="B19" i="1"/>
  <c r="B20" i="1"/>
  <c r="B21" i="1"/>
  <c r="B18" i="1"/>
</calcChain>
</file>

<file path=xl/sharedStrings.xml><?xml version="1.0" encoding="utf-8"?>
<sst xmlns="http://schemas.openxmlformats.org/spreadsheetml/2006/main" count="24" uniqueCount="21">
  <si>
    <t>去</t>
    <phoneticPr fontId="1" type="noConversion"/>
  </si>
  <si>
    <t>回</t>
    <phoneticPr fontId="1" type="noConversion"/>
  </si>
  <si>
    <t>theta</t>
    <phoneticPr fontId="1" type="noConversion"/>
  </si>
  <si>
    <t>tan(theta)</t>
    <phoneticPr fontId="1" type="noConversion"/>
  </si>
  <si>
    <t>theta(-,+)</t>
    <phoneticPr fontId="1" type="noConversion"/>
  </si>
  <si>
    <t xml:space="preserve">点       Δ t </t>
    <phoneticPr fontId="1" type="noConversion"/>
  </si>
  <si>
    <t>凸轮参数</t>
    <phoneticPr fontId="1" type="noConversion"/>
  </si>
  <si>
    <t>ρ</t>
    <phoneticPr fontId="1" type="noConversion"/>
  </si>
  <si>
    <t>φ</t>
    <phoneticPr fontId="1" type="noConversion"/>
  </si>
  <si>
    <t>过程</t>
    <phoneticPr fontId="1" type="noConversion"/>
  </si>
  <si>
    <t>摆头1</t>
    <phoneticPr fontId="1" type="noConversion"/>
  </si>
  <si>
    <t>摆头2</t>
    <phoneticPr fontId="1" type="noConversion"/>
  </si>
  <si>
    <t>摆头2.5</t>
    <phoneticPr fontId="1" type="noConversion"/>
  </si>
  <si>
    <t>蓄力</t>
    <phoneticPr fontId="1" type="noConversion"/>
  </si>
  <si>
    <t>出击</t>
    <phoneticPr fontId="1" type="noConversion"/>
  </si>
  <si>
    <t>回退</t>
    <phoneticPr fontId="1" type="noConversion"/>
  </si>
  <si>
    <t>t</t>
    <phoneticPr fontId="1" type="noConversion"/>
  </si>
  <si>
    <t>角速度ω</t>
    <phoneticPr fontId="1" type="noConversion"/>
  </si>
  <si>
    <t>总时T</t>
    <phoneticPr fontId="1" type="noConversion"/>
  </si>
  <si>
    <t>rad/s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</si>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</sst>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activeCell="O14" sqref="O14"/>
    </sheetView>
  </sheetViews>
  <sheetFormatPr defaultRowHeight="13.9" x14ac:dyDescent="0.4"/>
  <cols>
    <col min="2" max="2" width="9.1328125" style="3"/>
    <col min="13" max="13" width="10.53125" customWidth="1"/>
  </cols>
  <sheetData>
    <row r="1" spans="1:16" ht="18.5" customHeight="1" x14ac:dyDescent="0.4">
      <c r="A1" s="1" t="s">
        <v>5</v>
      </c>
      <c r="B1" s="2">
        <f>0.93/10</f>
        <v>9.2999999999999999E-2</v>
      </c>
      <c r="C1" t="s">
        <v>0</v>
      </c>
      <c r="D1" t="s">
        <v>3</v>
      </c>
      <c r="E1" t="s">
        <v>4</v>
      </c>
      <c r="F1" t="s">
        <v>2</v>
      </c>
      <c r="G1" t="s">
        <v>1</v>
      </c>
      <c r="H1" t="s">
        <v>3</v>
      </c>
      <c r="I1" t="s">
        <v>4</v>
      </c>
      <c r="J1" t="s">
        <v>2</v>
      </c>
      <c r="L1" t="s">
        <v>6</v>
      </c>
      <c r="M1" s="2" t="s">
        <v>16</v>
      </c>
      <c r="N1" t="s">
        <v>8</v>
      </c>
      <c r="O1" t="s">
        <v>7</v>
      </c>
      <c r="P1" t="s">
        <v>9</v>
      </c>
    </row>
    <row r="2" spans="1:16" x14ac:dyDescent="0.4">
      <c r="A2">
        <v>1</v>
      </c>
      <c r="B2" s="3">
        <f>A2*B1</f>
        <v>9.2999999999999999E-2</v>
      </c>
      <c r="C2" s="4">
        <v>6.9669999999999996</v>
      </c>
      <c r="D2">
        <f>10.117/(15.887-C2)</f>
        <v>1.1341928251121074</v>
      </c>
      <c r="E2">
        <f>ATAN(D2)</f>
        <v>0.8481930496897353</v>
      </c>
      <c r="F2">
        <f>IF(E2&gt;0,E2,E2+PI())</f>
        <v>0.8481930496897353</v>
      </c>
      <c r="G2" s="4">
        <v>6.734</v>
      </c>
      <c r="H2">
        <f>10.117/(15.887-G2)</f>
        <v>1.1053206598929313</v>
      </c>
      <c r="I2">
        <f>ATAN(H2)</f>
        <v>0.83538244144796658</v>
      </c>
      <c r="J2">
        <f>IF(I2&gt;0,I2,I2+PI())</f>
        <v>0.83538244144796658</v>
      </c>
      <c r="M2">
        <v>0</v>
      </c>
      <c r="N2">
        <f>M2*N70</f>
        <v>0</v>
      </c>
      <c r="O2" s="5">
        <v>6.9669999999999996</v>
      </c>
      <c r="P2" t="s">
        <v>10</v>
      </c>
    </row>
    <row r="3" spans="1:16" x14ac:dyDescent="0.4">
      <c r="A3">
        <v>2</v>
      </c>
      <c r="B3" s="3">
        <f>A3*B1</f>
        <v>0.186</v>
      </c>
      <c r="C3" s="4">
        <v>7.4009999999999998</v>
      </c>
      <c r="D3">
        <f t="shared" ref="D3:D21" si="0">10.117/(15.887-C3)</f>
        <v>1.1921989158614188</v>
      </c>
      <c r="E3">
        <f t="shared" ref="E3" si="1">ATAN(D3)</f>
        <v>0.87284858250400099</v>
      </c>
      <c r="F3">
        <f t="shared" ref="F3:F21" si="2">IF(E3&gt;0,E3,E3+PI())</f>
        <v>0.87284858250400099</v>
      </c>
      <c r="G3" s="4">
        <v>10.101000000000001</v>
      </c>
      <c r="H3">
        <f t="shared" ref="H3:H21" si="3">10.117/(15.887-G3)</f>
        <v>1.7485309367438648</v>
      </c>
      <c r="I3">
        <f t="shared" ref="I3:I21" si="4">ATAN(H3)</f>
        <v>1.0512883680083303</v>
      </c>
      <c r="J3">
        <f t="shared" ref="J3:J21" si="5">IF(I3&gt;0,I3,I3+PI())</f>
        <v>1.0512883680083303</v>
      </c>
      <c r="M3" s="3">
        <v>9.2999999999999999E-2</v>
      </c>
      <c r="N3">
        <f>M3*1.177354</f>
        <v>0.10949392199999999</v>
      </c>
      <c r="O3" s="5">
        <v>7.4009999999999998</v>
      </c>
    </row>
    <row r="4" spans="1:16" x14ac:dyDescent="0.4">
      <c r="A4">
        <v>3</v>
      </c>
      <c r="B4" s="3">
        <f>A4*B1</f>
        <v>0.27900000000000003</v>
      </c>
      <c r="C4" s="4">
        <v>9.5340000000000007</v>
      </c>
      <c r="D4">
        <f t="shared" si="0"/>
        <v>1.5924759955926335</v>
      </c>
      <c r="E4">
        <f t="shared" ref="E4" si="6">ATAN(D4)</f>
        <v>1.0100763590904356</v>
      </c>
      <c r="F4">
        <f t="shared" si="2"/>
        <v>1.0100763590904356</v>
      </c>
      <c r="G4" s="4">
        <v>10.351000000000001</v>
      </c>
      <c r="H4">
        <f t="shared" si="3"/>
        <v>1.8274927745664742</v>
      </c>
      <c r="I4">
        <f t="shared" si="4"/>
        <v>1.0701070732403744</v>
      </c>
      <c r="J4">
        <f t="shared" si="5"/>
        <v>1.0701070732403744</v>
      </c>
      <c r="M4" s="3">
        <v>0.186</v>
      </c>
      <c r="N4">
        <f t="shared" ref="N4:N67" si="7">M4*1.177354</f>
        <v>0.21898784399999999</v>
      </c>
      <c r="O4" s="5">
        <v>9.5340000000000007</v>
      </c>
    </row>
    <row r="5" spans="1:16" x14ac:dyDescent="0.4">
      <c r="A5">
        <v>4</v>
      </c>
      <c r="B5" s="3">
        <f>A5*B1</f>
        <v>0.372</v>
      </c>
      <c r="C5" s="4">
        <v>9.9670000000000005</v>
      </c>
      <c r="D5">
        <f t="shared" si="0"/>
        <v>1.7089527027027029</v>
      </c>
      <c r="E5">
        <f t="shared" ref="E5" si="8">ATAN(D5)</f>
        <v>1.041364752135324</v>
      </c>
      <c r="F5">
        <f t="shared" si="2"/>
        <v>1.041364752135324</v>
      </c>
      <c r="G5" s="4">
        <v>11.967000000000001</v>
      </c>
      <c r="H5">
        <f t="shared" si="3"/>
        <v>2.580867346938776</v>
      </c>
      <c r="I5">
        <f t="shared" si="4"/>
        <v>1.2011410428122375</v>
      </c>
      <c r="J5">
        <f t="shared" si="5"/>
        <v>1.2011410428122375</v>
      </c>
      <c r="M5" s="3">
        <v>0.27900000000000003</v>
      </c>
      <c r="N5">
        <f t="shared" si="7"/>
        <v>0.32848176600000001</v>
      </c>
      <c r="O5" s="5">
        <v>9.9670000000000005</v>
      </c>
    </row>
    <row r="6" spans="1:16" x14ac:dyDescent="0.4">
      <c r="A6">
        <v>5</v>
      </c>
      <c r="B6" s="3">
        <f t="shared" ref="B6" si="9">A6*B5</f>
        <v>1.8599999999999999</v>
      </c>
      <c r="C6" s="4">
        <v>11.000999999999999</v>
      </c>
      <c r="D6">
        <f t="shared" si="0"/>
        <v>2.0706099058534586</v>
      </c>
      <c r="E6">
        <f t="shared" ref="E6" si="10">ATAN(D6)</f>
        <v>1.120881930795534</v>
      </c>
      <c r="F6">
        <f t="shared" si="2"/>
        <v>1.120881930795534</v>
      </c>
      <c r="G6" s="4">
        <v>12.351000000000001</v>
      </c>
      <c r="H6">
        <f t="shared" si="3"/>
        <v>2.8611425339366523</v>
      </c>
      <c r="I6">
        <f t="shared" si="4"/>
        <v>1.2345574540453401</v>
      </c>
      <c r="J6">
        <f t="shared" si="5"/>
        <v>1.2345574540453401</v>
      </c>
      <c r="M6" s="3">
        <v>0.372</v>
      </c>
      <c r="N6">
        <f t="shared" si="7"/>
        <v>0.43797568799999997</v>
      </c>
      <c r="O6" s="5">
        <v>11.000999999999999</v>
      </c>
    </row>
    <row r="7" spans="1:16" x14ac:dyDescent="0.4">
      <c r="A7">
        <v>6</v>
      </c>
      <c r="B7" s="3">
        <f>A7*B1</f>
        <v>0.55800000000000005</v>
      </c>
      <c r="C7" s="4">
        <v>11.417</v>
      </c>
      <c r="D7">
        <f t="shared" si="0"/>
        <v>2.26331096196868</v>
      </c>
      <c r="E7">
        <f t="shared" ref="E7" si="11">ATAN(D7)</f>
        <v>1.1547568229462093</v>
      </c>
      <c r="F7">
        <f t="shared" si="2"/>
        <v>1.1547568229462093</v>
      </c>
      <c r="G7" s="4">
        <v>13.617000000000001</v>
      </c>
      <c r="H7">
        <f t="shared" si="3"/>
        <v>4.4568281938326004</v>
      </c>
      <c r="I7">
        <f t="shared" si="4"/>
        <v>1.3500770244582316</v>
      </c>
      <c r="J7">
        <f t="shared" si="5"/>
        <v>1.3500770244582316</v>
      </c>
      <c r="M7" s="3">
        <v>0.46500000000000002</v>
      </c>
      <c r="N7">
        <f t="shared" si="7"/>
        <v>0.54746961000000005</v>
      </c>
      <c r="O7" s="5">
        <v>11.417</v>
      </c>
    </row>
    <row r="8" spans="1:16" x14ac:dyDescent="0.4">
      <c r="A8">
        <v>7</v>
      </c>
      <c r="B8" s="3">
        <f>A8*B1</f>
        <v>0.65100000000000002</v>
      </c>
      <c r="C8" s="4">
        <v>12.584</v>
      </c>
      <c r="D8">
        <f t="shared" si="0"/>
        <v>3.0629730547986673</v>
      </c>
      <c r="E8">
        <f t="shared" ref="E8" si="12">ATAN(D8)</f>
        <v>1.2552262368776268</v>
      </c>
      <c r="F8">
        <f t="shared" si="2"/>
        <v>1.2552262368776268</v>
      </c>
      <c r="G8" s="4">
        <v>13.651</v>
      </c>
      <c r="H8">
        <f t="shared" si="3"/>
        <v>4.5245974955277273</v>
      </c>
      <c r="I8">
        <f t="shared" si="4"/>
        <v>1.3532789114247932</v>
      </c>
      <c r="J8">
        <f t="shared" si="5"/>
        <v>1.3532789114247932</v>
      </c>
      <c r="M8" s="3">
        <v>0.55800000000000005</v>
      </c>
      <c r="N8">
        <f t="shared" si="7"/>
        <v>0.65696353200000002</v>
      </c>
      <c r="O8" s="5">
        <v>12.584</v>
      </c>
    </row>
    <row r="9" spans="1:16" x14ac:dyDescent="0.4">
      <c r="A9">
        <v>8</v>
      </c>
      <c r="B9" s="3">
        <f>A9*B1</f>
        <v>0.74399999999999999</v>
      </c>
      <c r="C9" s="4">
        <v>12.750999999999999</v>
      </c>
      <c r="D9">
        <f t="shared" si="0"/>
        <v>3.2260841836734686</v>
      </c>
      <c r="E9">
        <f t="shared" ref="E9" si="13">ATAN(D9)</f>
        <v>1.2702150048546068</v>
      </c>
      <c r="F9">
        <f t="shared" si="2"/>
        <v>1.2702150048546068</v>
      </c>
      <c r="G9" s="4">
        <v>13.951000000000001</v>
      </c>
      <c r="H9">
        <f t="shared" si="3"/>
        <v>5.2257231404958686</v>
      </c>
      <c r="I9">
        <f t="shared" si="4"/>
        <v>1.3817210562741582</v>
      </c>
      <c r="J9">
        <f t="shared" si="5"/>
        <v>1.3817210562741582</v>
      </c>
      <c r="M9" s="3">
        <v>0.65100000000000002</v>
      </c>
      <c r="N9">
        <f t="shared" si="7"/>
        <v>0.76645745399999998</v>
      </c>
      <c r="O9" s="5">
        <v>12.750999999999999</v>
      </c>
    </row>
    <row r="10" spans="1:16" x14ac:dyDescent="0.4">
      <c r="A10">
        <v>9</v>
      </c>
      <c r="B10" s="3">
        <f>A10*B1</f>
        <v>0.83699999999999997</v>
      </c>
      <c r="C10" s="4">
        <v>13.134</v>
      </c>
      <c r="D10">
        <f t="shared" si="0"/>
        <v>3.6749001089720306</v>
      </c>
      <c r="E10">
        <f t="shared" ref="E10" si="14">ATAN(D10)</f>
        <v>1.3051130962800284</v>
      </c>
      <c r="F10">
        <f t="shared" si="2"/>
        <v>1.3051130962800284</v>
      </c>
      <c r="G10" s="4">
        <v>14.433999999999999</v>
      </c>
      <c r="H10">
        <f t="shared" si="3"/>
        <v>6.9628355127322727</v>
      </c>
      <c r="I10">
        <f t="shared" si="4"/>
        <v>1.4281520949996893</v>
      </c>
      <c r="J10">
        <f t="shared" si="5"/>
        <v>1.4281520949996893</v>
      </c>
      <c r="M10" s="3">
        <v>0.74399999999999999</v>
      </c>
      <c r="N10">
        <f t="shared" si="7"/>
        <v>0.87595137599999995</v>
      </c>
      <c r="O10" s="5">
        <v>13.134</v>
      </c>
    </row>
    <row r="11" spans="1:16" x14ac:dyDescent="0.4">
      <c r="A11">
        <v>10</v>
      </c>
      <c r="B11" s="3">
        <f>A11*B1</f>
        <v>0.92999999999999994</v>
      </c>
      <c r="C11" s="4">
        <v>14.417</v>
      </c>
      <c r="D11">
        <f t="shared" si="0"/>
        <v>6.8823129251700657</v>
      </c>
      <c r="E11">
        <f t="shared" ref="E11" si="15">ATAN(D11)</f>
        <v>1.4265061049076262</v>
      </c>
      <c r="F11">
        <f t="shared" si="2"/>
        <v>1.4265061049076262</v>
      </c>
      <c r="G11">
        <v>15.901</v>
      </c>
      <c r="H11">
        <f t="shared" si="3"/>
        <v>-722.64285714289099</v>
      </c>
      <c r="I11">
        <f t="shared" si="4"/>
        <v>-1.5694125182485215</v>
      </c>
      <c r="J11">
        <f t="shared" si="5"/>
        <v>1.5721801353412717</v>
      </c>
      <c r="M11" s="3">
        <v>0.83699999999999997</v>
      </c>
      <c r="N11">
        <f t="shared" si="7"/>
        <v>0.98544529800000003</v>
      </c>
      <c r="O11" s="5">
        <v>14.417</v>
      </c>
    </row>
    <row r="12" spans="1:16" x14ac:dyDescent="0.4">
      <c r="A12">
        <v>11</v>
      </c>
      <c r="B12" s="3">
        <f>A12*B1</f>
        <v>1.0229999999999999</v>
      </c>
      <c r="C12">
        <v>14.567</v>
      </c>
      <c r="D12">
        <f t="shared" si="0"/>
        <v>7.6643939393939382</v>
      </c>
      <c r="E12">
        <f t="shared" ref="E12" si="16">ATAN(D12)</f>
        <v>1.4410557589524644</v>
      </c>
      <c r="F12">
        <f t="shared" si="2"/>
        <v>1.4410557589524644</v>
      </c>
      <c r="G12">
        <v>15.933999999999999</v>
      </c>
      <c r="H12">
        <f t="shared" si="3"/>
        <v>-215.2553191489416</v>
      </c>
      <c r="I12">
        <f t="shared" si="4"/>
        <v>-1.5661507142728084</v>
      </c>
      <c r="J12">
        <f t="shared" si="5"/>
        <v>1.5754419393169847</v>
      </c>
      <c r="M12" s="3">
        <v>0.93</v>
      </c>
      <c r="N12">
        <f t="shared" si="7"/>
        <v>1.0949392200000001</v>
      </c>
      <c r="O12" s="5">
        <v>14.433999999999999</v>
      </c>
    </row>
    <row r="13" spans="1:16" x14ac:dyDescent="0.4">
      <c r="A13">
        <v>12</v>
      </c>
      <c r="B13" s="3">
        <f>A13*B1</f>
        <v>1.1160000000000001</v>
      </c>
      <c r="C13">
        <v>14.933999999999999</v>
      </c>
      <c r="D13">
        <f t="shared" si="0"/>
        <v>10.615949632738708</v>
      </c>
      <c r="E13">
        <f t="shared" ref="E13" si="17">ATAN(D13)</f>
        <v>1.4768755815867627</v>
      </c>
      <c r="F13">
        <f t="shared" si="2"/>
        <v>1.4768755815867627</v>
      </c>
      <c r="G13">
        <v>17.084</v>
      </c>
      <c r="H13">
        <f t="shared" si="3"/>
        <v>-8.4519632414369319</v>
      </c>
      <c r="I13">
        <f t="shared" si="4"/>
        <v>-1.4530281143709081</v>
      </c>
      <c r="J13">
        <f t="shared" si="5"/>
        <v>1.6885645392188851</v>
      </c>
      <c r="M13" s="3">
        <v>1.0229999999999999</v>
      </c>
      <c r="N13">
        <f t="shared" si="7"/>
        <v>1.2044331419999998</v>
      </c>
      <c r="O13" s="5">
        <v>13.951000000000001</v>
      </c>
    </row>
    <row r="14" spans="1:16" x14ac:dyDescent="0.4">
      <c r="A14">
        <v>13</v>
      </c>
      <c r="B14" s="3">
        <f>A14*B1</f>
        <v>1.2090000000000001</v>
      </c>
      <c r="C14">
        <v>16.634</v>
      </c>
      <c r="D14">
        <f t="shared" si="0"/>
        <v>-13.543507362784474</v>
      </c>
      <c r="E14">
        <f t="shared" ref="E14" si="18">ATAN(D14)</f>
        <v>-1.4970939513936454</v>
      </c>
      <c r="F14">
        <f t="shared" si="2"/>
        <v>1.6444987021961477</v>
      </c>
      <c r="G14">
        <v>17.667000000000002</v>
      </c>
      <c r="H14">
        <f t="shared" si="3"/>
        <v>-5.683707865168536</v>
      </c>
      <c r="I14">
        <f t="shared" si="4"/>
        <v>-1.3966372981762258</v>
      </c>
      <c r="J14">
        <f t="shared" si="5"/>
        <v>1.7449553554135673</v>
      </c>
      <c r="M14" s="3">
        <v>1.1160000000000001</v>
      </c>
      <c r="N14">
        <f t="shared" si="7"/>
        <v>1.313927064</v>
      </c>
      <c r="O14" s="5">
        <v>13.651</v>
      </c>
    </row>
    <row r="15" spans="1:16" x14ac:dyDescent="0.4">
      <c r="A15">
        <v>14</v>
      </c>
      <c r="B15" s="3">
        <f>A15*B1</f>
        <v>1.302</v>
      </c>
      <c r="C15">
        <v>17.167000000000002</v>
      </c>
      <c r="D15">
        <f t="shared" si="0"/>
        <v>-7.9039062499999932</v>
      </c>
      <c r="E15">
        <f t="shared" ref="E15" si="19">ATAN(D15)</f>
        <v>-1.4449452742030562</v>
      </c>
      <c r="F15">
        <f t="shared" si="2"/>
        <v>1.6966473793867369</v>
      </c>
      <c r="G15">
        <v>17.850999999999999</v>
      </c>
      <c r="H15">
        <f t="shared" si="3"/>
        <v>-5.1512219959266838</v>
      </c>
      <c r="I15">
        <f t="shared" si="4"/>
        <v>-1.3790525745463649</v>
      </c>
      <c r="J15">
        <f t="shared" si="5"/>
        <v>1.7625400790434282</v>
      </c>
      <c r="M15" s="3">
        <v>1.2090000000000001</v>
      </c>
      <c r="N15">
        <f t="shared" si="7"/>
        <v>1.423420986</v>
      </c>
      <c r="O15" s="5">
        <v>13.617000000000001</v>
      </c>
    </row>
    <row r="16" spans="1:16" x14ac:dyDescent="0.4">
      <c r="A16">
        <v>15</v>
      </c>
      <c r="B16" s="3">
        <f>A16*B1</f>
        <v>1.395</v>
      </c>
      <c r="C16">
        <v>17.550999999999998</v>
      </c>
      <c r="D16">
        <f t="shared" si="0"/>
        <v>-6.079927884615393</v>
      </c>
      <c r="E16">
        <f t="shared" ref="E16" si="20">ATAN(D16)</f>
        <v>-1.4077802183822674</v>
      </c>
      <c r="F16">
        <f t="shared" si="2"/>
        <v>1.7338124352075257</v>
      </c>
      <c r="G16">
        <v>17.966999999999999</v>
      </c>
      <c r="H16">
        <f t="shared" si="3"/>
        <v>-4.8639423076923123</v>
      </c>
      <c r="I16">
        <f t="shared" si="4"/>
        <v>-1.3680272308939354</v>
      </c>
      <c r="J16">
        <f t="shared" si="5"/>
        <v>1.7735654226958577</v>
      </c>
      <c r="M16" s="3">
        <v>1.302</v>
      </c>
      <c r="N16">
        <f t="shared" si="7"/>
        <v>1.532914908</v>
      </c>
      <c r="O16" s="5">
        <v>12.351000000000001</v>
      </c>
    </row>
    <row r="17" spans="1:16" x14ac:dyDescent="0.4">
      <c r="A17">
        <v>16</v>
      </c>
      <c r="B17" s="3">
        <f>A17*B1</f>
        <v>1.488</v>
      </c>
      <c r="C17">
        <v>17.684000000000001</v>
      </c>
      <c r="D17">
        <f t="shared" si="0"/>
        <v>-5.6299387868669992</v>
      </c>
      <c r="E17">
        <f t="shared" ref="E17" si="21">ATAN(D17)</f>
        <v>-1.3950078806462607</v>
      </c>
      <c r="F17">
        <f t="shared" si="2"/>
        <v>1.7465847729435324</v>
      </c>
      <c r="G17">
        <v>18.734000000000002</v>
      </c>
      <c r="H17">
        <f t="shared" si="3"/>
        <v>-3.5535651563048809</v>
      </c>
      <c r="I17">
        <f t="shared" si="4"/>
        <v>-1.2964828973783815</v>
      </c>
      <c r="J17">
        <f t="shared" si="5"/>
        <v>1.8451097562114116</v>
      </c>
      <c r="M17" s="3">
        <v>1.395</v>
      </c>
      <c r="N17">
        <f t="shared" si="7"/>
        <v>1.6424088299999999</v>
      </c>
      <c r="O17" s="5">
        <v>11.967000000000001</v>
      </c>
    </row>
    <row r="18" spans="1:16" x14ac:dyDescent="0.4">
      <c r="A18">
        <v>17</v>
      </c>
      <c r="B18" s="3">
        <f t="shared" ref="B18" si="22">A18*B17</f>
        <v>25.295999999999999</v>
      </c>
      <c r="C18">
        <v>17.901</v>
      </c>
      <c r="D18">
        <f t="shared" si="0"/>
        <v>-5.0233366434955338</v>
      </c>
      <c r="E18">
        <f t="shared" ref="E18" si="23">ATAN(D18)</f>
        <v>-1.3742943198165753</v>
      </c>
      <c r="F18">
        <f t="shared" si="2"/>
        <v>1.7672983337732178</v>
      </c>
      <c r="H18">
        <f t="shared" si="3"/>
        <v>0.63680997041606346</v>
      </c>
      <c r="I18">
        <f t="shared" si="4"/>
        <v>0.56704683812721779</v>
      </c>
      <c r="J18">
        <f t="shared" si="5"/>
        <v>0.56704683812721779</v>
      </c>
      <c r="M18" s="3">
        <v>1.488</v>
      </c>
      <c r="N18">
        <f t="shared" si="7"/>
        <v>1.7519027519999999</v>
      </c>
      <c r="O18" s="5">
        <v>10.351000000000001</v>
      </c>
    </row>
    <row r="19" spans="1:16" x14ac:dyDescent="0.4">
      <c r="A19">
        <v>18</v>
      </c>
      <c r="B19" s="3">
        <f>A19*B1</f>
        <v>1.6739999999999999</v>
      </c>
      <c r="C19">
        <v>18.634</v>
      </c>
      <c r="D19">
        <f t="shared" si="0"/>
        <v>-3.6829268292682933</v>
      </c>
      <c r="E19">
        <f t="shared" ref="E19" si="24">ATAN(D19)</f>
        <v>-1.3056653534074949</v>
      </c>
      <c r="F19">
        <f t="shared" si="2"/>
        <v>1.8359273001822982</v>
      </c>
      <c r="H19">
        <f t="shared" si="3"/>
        <v>0.63680997041606346</v>
      </c>
      <c r="I19">
        <f t="shared" si="4"/>
        <v>0.56704683812721779</v>
      </c>
      <c r="J19">
        <f t="shared" si="5"/>
        <v>0.56704683812721779</v>
      </c>
      <c r="M19" s="3">
        <v>1.581</v>
      </c>
      <c r="N19">
        <f t="shared" si="7"/>
        <v>1.8613966739999999</v>
      </c>
      <c r="O19" s="5">
        <v>10.101000000000001</v>
      </c>
    </row>
    <row r="20" spans="1:16" x14ac:dyDescent="0.4">
      <c r="A20">
        <v>19</v>
      </c>
      <c r="B20" s="3">
        <f>A20*B1</f>
        <v>1.7669999999999999</v>
      </c>
      <c r="C20">
        <v>18.667000000000002</v>
      </c>
      <c r="D20">
        <f t="shared" si="0"/>
        <v>-3.6392086330935238</v>
      </c>
      <c r="E20">
        <f t="shared" ref="E20" si="25">ATAN(D20)</f>
        <v>-1.3026299964175045</v>
      </c>
      <c r="F20">
        <f t="shared" si="2"/>
        <v>1.8389626571722886</v>
      </c>
      <c r="H20">
        <f t="shared" si="3"/>
        <v>0.63680997041606346</v>
      </c>
      <c r="I20">
        <f t="shared" si="4"/>
        <v>0.56704683812721779</v>
      </c>
      <c r="J20">
        <f t="shared" si="5"/>
        <v>0.56704683812721779</v>
      </c>
      <c r="M20" s="3">
        <v>1.6739999999999999</v>
      </c>
      <c r="N20">
        <f t="shared" si="7"/>
        <v>1.9708905960000001</v>
      </c>
      <c r="O20" s="5">
        <v>6.734</v>
      </c>
    </row>
    <row r="21" spans="1:16" x14ac:dyDescent="0.4">
      <c r="A21">
        <v>20</v>
      </c>
      <c r="B21" s="3">
        <f>A21*B1</f>
        <v>1.8599999999999999</v>
      </c>
      <c r="C21">
        <v>18.766999999999999</v>
      </c>
      <c r="D21">
        <f t="shared" si="0"/>
        <v>-3.5128472222222236</v>
      </c>
      <c r="E21">
        <f t="shared" ref="E21" si="26">ATAN(D21)</f>
        <v>-1.2934629898489243</v>
      </c>
      <c r="F21">
        <f t="shared" si="2"/>
        <v>1.8481296637408688</v>
      </c>
      <c r="H21">
        <f t="shared" si="3"/>
        <v>0.63680997041606346</v>
      </c>
      <c r="I21">
        <f t="shared" si="4"/>
        <v>0.56704683812721779</v>
      </c>
      <c r="J21">
        <f t="shared" si="5"/>
        <v>0.56704683812721779</v>
      </c>
      <c r="M21" s="3">
        <v>1.7669999999999999</v>
      </c>
      <c r="N21">
        <f t="shared" si="7"/>
        <v>2.0803845179999998</v>
      </c>
      <c r="O21" s="5">
        <v>6.9669999999999996</v>
      </c>
      <c r="P21" t="s">
        <v>11</v>
      </c>
    </row>
    <row r="22" spans="1:16" x14ac:dyDescent="0.4">
      <c r="M22" s="3">
        <v>1.86</v>
      </c>
      <c r="N22">
        <f t="shared" si="7"/>
        <v>2.1898784400000002</v>
      </c>
      <c r="O22" s="5">
        <v>7.4009999999999998</v>
      </c>
    </row>
    <row r="23" spans="1:16" x14ac:dyDescent="0.4">
      <c r="M23" s="3">
        <v>1.9530000000000001</v>
      </c>
      <c r="N23">
        <f t="shared" si="7"/>
        <v>2.2993723620000002</v>
      </c>
      <c r="O23" s="5">
        <v>9.5340000000000007</v>
      </c>
    </row>
    <row r="24" spans="1:16" x14ac:dyDescent="0.4">
      <c r="M24" s="3">
        <v>2.0459999999999998</v>
      </c>
      <c r="N24">
        <f t="shared" si="7"/>
        <v>2.4088662839999997</v>
      </c>
      <c r="O24" s="5">
        <v>9.9670000000000005</v>
      </c>
    </row>
    <row r="25" spans="1:16" x14ac:dyDescent="0.4">
      <c r="A25">
        <v>1</v>
      </c>
      <c r="C25">
        <v>3.984</v>
      </c>
      <c r="M25" s="3">
        <v>2.1389999999999998</v>
      </c>
      <c r="N25">
        <f t="shared" si="7"/>
        <v>2.5183602059999997</v>
      </c>
      <c r="O25" s="5">
        <v>11.000999999999999</v>
      </c>
    </row>
    <row r="26" spans="1:16" x14ac:dyDescent="0.4">
      <c r="A26">
        <v>2</v>
      </c>
      <c r="C26">
        <v>6.1509999999999998</v>
      </c>
      <c r="M26" s="3">
        <v>2.2320000000000002</v>
      </c>
      <c r="N26">
        <f t="shared" si="7"/>
        <v>2.6278541280000001</v>
      </c>
      <c r="O26" s="5">
        <v>11.417</v>
      </c>
    </row>
    <row r="27" spans="1:16" x14ac:dyDescent="0.4">
      <c r="A27">
        <v>3</v>
      </c>
      <c r="C27">
        <v>6.4509999999999996</v>
      </c>
      <c r="M27" s="3">
        <v>2.3250000000000002</v>
      </c>
      <c r="N27">
        <f t="shared" si="7"/>
        <v>2.73734805</v>
      </c>
      <c r="O27" s="5">
        <v>12.584</v>
      </c>
    </row>
    <row r="28" spans="1:16" x14ac:dyDescent="0.4">
      <c r="A28">
        <v>4</v>
      </c>
      <c r="C28">
        <v>7.3840000000000003</v>
      </c>
      <c r="M28" s="3">
        <v>2.4180000000000001</v>
      </c>
      <c r="N28">
        <f t="shared" si="7"/>
        <v>2.846841972</v>
      </c>
      <c r="O28" s="5">
        <v>12.750999999999999</v>
      </c>
    </row>
    <row r="29" spans="1:16" x14ac:dyDescent="0.4">
      <c r="A29">
        <v>5</v>
      </c>
      <c r="C29">
        <v>7.5839999999999996</v>
      </c>
      <c r="M29" s="3">
        <v>2.5110000000000001</v>
      </c>
      <c r="N29">
        <f t="shared" si="7"/>
        <v>2.956335894</v>
      </c>
      <c r="O29" s="5">
        <v>13.134</v>
      </c>
    </row>
    <row r="30" spans="1:16" x14ac:dyDescent="0.4">
      <c r="A30">
        <v>6</v>
      </c>
      <c r="C30">
        <v>8.0709999999999997</v>
      </c>
      <c r="M30" s="3">
        <v>2.6040000000000001</v>
      </c>
      <c r="N30">
        <f t="shared" si="7"/>
        <v>3.0658298159999999</v>
      </c>
      <c r="O30" s="5">
        <v>14.417</v>
      </c>
    </row>
    <row r="31" spans="1:16" x14ac:dyDescent="0.4">
      <c r="A31">
        <v>7</v>
      </c>
      <c r="C31">
        <v>8.1010000000000009</v>
      </c>
      <c r="M31" s="3">
        <v>2.6970000000000001</v>
      </c>
      <c r="N31">
        <f t="shared" si="7"/>
        <v>3.1753237379999999</v>
      </c>
      <c r="O31" s="5">
        <v>14.433999999999999</v>
      </c>
    </row>
    <row r="32" spans="1:16" x14ac:dyDescent="0.4">
      <c r="A32">
        <v>8</v>
      </c>
      <c r="C32">
        <v>8.2010000000000005</v>
      </c>
      <c r="M32" s="3">
        <v>2.79</v>
      </c>
      <c r="N32">
        <f t="shared" si="7"/>
        <v>3.2848176599999999</v>
      </c>
      <c r="O32" s="5">
        <v>13.951000000000001</v>
      </c>
    </row>
    <row r="33" spans="1:16" x14ac:dyDescent="0.4">
      <c r="A33">
        <v>9</v>
      </c>
      <c r="C33">
        <v>10.867000000000001</v>
      </c>
      <c r="M33" s="3">
        <v>2.883</v>
      </c>
      <c r="N33">
        <f t="shared" si="7"/>
        <v>3.3943115819999998</v>
      </c>
      <c r="O33" s="5">
        <v>13.651</v>
      </c>
    </row>
    <row r="34" spans="1:16" x14ac:dyDescent="0.4">
      <c r="A34">
        <v>10</v>
      </c>
      <c r="C34">
        <v>13.058999999999999</v>
      </c>
      <c r="M34" s="3">
        <v>2.976</v>
      </c>
      <c r="N34">
        <f t="shared" si="7"/>
        <v>3.5038055039999998</v>
      </c>
      <c r="O34" s="5">
        <v>13.617000000000001</v>
      </c>
    </row>
    <row r="35" spans="1:16" x14ac:dyDescent="0.4">
      <c r="A35">
        <v>11</v>
      </c>
      <c r="C35">
        <v>13.284000000000001</v>
      </c>
      <c r="M35" s="3">
        <v>3.069</v>
      </c>
      <c r="N35">
        <f t="shared" si="7"/>
        <v>3.6132994259999998</v>
      </c>
      <c r="O35" s="5">
        <v>12.351000000000001</v>
      </c>
    </row>
    <row r="36" spans="1:16" x14ac:dyDescent="0.4">
      <c r="A36">
        <v>12</v>
      </c>
      <c r="M36" s="3">
        <v>3.1619999999999999</v>
      </c>
      <c r="N36">
        <f t="shared" si="7"/>
        <v>3.7227933479999997</v>
      </c>
      <c r="O36" s="5">
        <v>11.967000000000001</v>
      </c>
    </row>
    <row r="37" spans="1:16" x14ac:dyDescent="0.4">
      <c r="A37">
        <v>13</v>
      </c>
      <c r="M37" s="3">
        <v>3.2549999999999999</v>
      </c>
      <c r="N37">
        <f t="shared" si="7"/>
        <v>3.8322872700000001</v>
      </c>
      <c r="O37" s="5">
        <v>10.351000000000001</v>
      </c>
    </row>
    <row r="38" spans="1:16" x14ac:dyDescent="0.4">
      <c r="A38">
        <v>14</v>
      </c>
      <c r="M38" s="3">
        <v>3.3479999999999999</v>
      </c>
      <c r="N38">
        <f t="shared" si="7"/>
        <v>3.9417811920000001</v>
      </c>
      <c r="O38" s="5">
        <v>10.101000000000001</v>
      </c>
    </row>
    <row r="39" spans="1:16" x14ac:dyDescent="0.4">
      <c r="A39">
        <v>15</v>
      </c>
      <c r="M39" s="3">
        <v>3.4409999999999998</v>
      </c>
      <c r="N39">
        <f t="shared" si="7"/>
        <v>4.0512751140000001</v>
      </c>
      <c r="O39" s="5">
        <v>6.734</v>
      </c>
    </row>
    <row r="40" spans="1:16" x14ac:dyDescent="0.4">
      <c r="M40" s="3">
        <v>3.5339999999999998</v>
      </c>
      <c r="N40">
        <f t="shared" si="7"/>
        <v>4.1607690359999996</v>
      </c>
      <c r="O40" s="5">
        <v>6.9669999999999996</v>
      </c>
      <c r="P40" t="s">
        <v>12</v>
      </c>
    </row>
    <row r="41" spans="1:16" x14ac:dyDescent="0.4">
      <c r="M41" s="3">
        <v>3.6269999999999998</v>
      </c>
      <c r="N41">
        <f t="shared" si="7"/>
        <v>4.270262958</v>
      </c>
      <c r="O41" s="5">
        <v>7.4009999999999998</v>
      </c>
    </row>
    <row r="42" spans="1:16" x14ac:dyDescent="0.4">
      <c r="M42" s="3">
        <v>3.72</v>
      </c>
      <c r="N42">
        <f t="shared" si="7"/>
        <v>4.3797568800000004</v>
      </c>
      <c r="O42" s="5">
        <v>9.5340000000000007</v>
      </c>
    </row>
    <row r="43" spans="1:16" x14ac:dyDescent="0.4">
      <c r="M43" s="3">
        <v>3.8130000000000002</v>
      </c>
      <c r="N43">
        <f t="shared" si="7"/>
        <v>4.4892508019999999</v>
      </c>
      <c r="O43" s="5">
        <v>9.9670000000000005</v>
      </c>
    </row>
    <row r="44" spans="1:16" x14ac:dyDescent="0.4">
      <c r="M44" s="3">
        <v>3.9060000000000001</v>
      </c>
      <c r="N44">
        <f t="shared" si="7"/>
        <v>4.5987447240000003</v>
      </c>
      <c r="O44" s="5">
        <v>11.000999999999999</v>
      </c>
    </row>
    <row r="45" spans="1:16" x14ac:dyDescent="0.4">
      <c r="M45" s="3">
        <v>3.9990000000000001</v>
      </c>
      <c r="N45">
        <f t="shared" si="7"/>
        <v>4.7082386459999999</v>
      </c>
      <c r="O45" s="5">
        <v>11.417</v>
      </c>
    </row>
    <row r="46" spans="1:16" x14ac:dyDescent="0.4">
      <c r="M46" s="3">
        <v>4.0919999999999996</v>
      </c>
      <c r="N46">
        <f t="shared" si="7"/>
        <v>4.8177325679999994</v>
      </c>
      <c r="O46" s="5">
        <v>12.584</v>
      </c>
    </row>
    <row r="47" spans="1:16" x14ac:dyDescent="0.4">
      <c r="M47" s="3">
        <v>4.1849999999999996</v>
      </c>
      <c r="N47">
        <f t="shared" si="7"/>
        <v>4.9272264899999998</v>
      </c>
      <c r="O47" s="5">
        <v>12.750999999999999</v>
      </c>
    </row>
    <row r="48" spans="1:16" x14ac:dyDescent="0.4">
      <c r="M48" s="3">
        <v>4.2779999999999996</v>
      </c>
      <c r="N48">
        <f t="shared" si="7"/>
        <v>5.0367204119999993</v>
      </c>
      <c r="O48" s="5">
        <v>13.134</v>
      </c>
    </row>
    <row r="49" spans="12:16" x14ac:dyDescent="0.4">
      <c r="L49">
        <v>3.3300000000000003E-2</v>
      </c>
      <c r="M49" s="3">
        <v>4.3710000000000004</v>
      </c>
      <c r="N49">
        <f t="shared" si="7"/>
        <v>5.1462143340000006</v>
      </c>
      <c r="O49">
        <v>13.284000000000001</v>
      </c>
      <c r="P49" t="s">
        <v>13</v>
      </c>
    </row>
    <row r="50" spans="12:16" x14ac:dyDescent="0.4">
      <c r="L50">
        <v>3.3300000000000003E-2</v>
      </c>
      <c r="M50" s="3">
        <f>L49+M49</f>
        <v>4.4043000000000001</v>
      </c>
      <c r="N50">
        <f t="shared" si="7"/>
        <v>5.1854202222000003</v>
      </c>
      <c r="O50">
        <v>13.058999999999999</v>
      </c>
    </row>
    <row r="51" spans="12:16" x14ac:dyDescent="0.4">
      <c r="L51">
        <v>3.3300000000000003E-2</v>
      </c>
      <c r="M51" s="3">
        <f>L50+M50</f>
        <v>4.4375999999999998</v>
      </c>
      <c r="N51">
        <f t="shared" si="7"/>
        <v>5.2246261104</v>
      </c>
      <c r="O51">
        <v>10.867000000000001</v>
      </c>
    </row>
    <row r="52" spans="12:16" x14ac:dyDescent="0.4">
      <c r="L52">
        <v>3.3300000000000003E-2</v>
      </c>
      <c r="M52" s="3">
        <f>L51+M51</f>
        <v>4.4708999999999994</v>
      </c>
      <c r="N52">
        <f t="shared" si="7"/>
        <v>5.2638319985999997</v>
      </c>
      <c r="O52">
        <v>8.2010000000000005</v>
      </c>
    </row>
    <row r="53" spans="12:16" x14ac:dyDescent="0.4">
      <c r="L53">
        <v>3.3300000000000003E-2</v>
      </c>
      <c r="M53" s="3">
        <f>L52+M52</f>
        <v>4.5041999999999991</v>
      </c>
      <c r="N53">
        <f t="shared" si="7"/>
        <v>5.3030378867999985</v>
      </c>
      <c r="O53">
        <v>8.1010000000000009</v>
      </c>
    </row>
    <row r="54" spans="12:16" x14ac:dyDescent="0.4">
      <c r="L54">
        <v>3.3300000000000003E-2</v>
      </c>
      <c r="M54" s="3">
        <f>L53+M53</f>
        <v>4.5374999999999988</v>
      </c>
      <c r="N54">
        <f t="shared" si="7"/>
        <v>5.3422437749999983</v>
      </c>
      <c r="O54">
        <v>8.0709999999999997</v>
      </c>
    </row>
    <row r="55" spans="12:16" x14ac:dyDescent="0.4">
      <c r="L55">
        <v>3.3300000000000003E-2</v>
      </c>
      <c r="M55" s="3">
        <f>L54+M54</f>
        <v>4.5707999999999984</v>
      </c>
      <c r="N55">
        <f t="shared" si="7"/>
        <v>5.381449663199998</v>
      </c>
      <c r="O55">
        <v>7.5839999999999996</v>
      </c>
    </row>
    <row r="56" spans="12:16" x14ac:dyDescent="0.4">
      <c r="L56">
        <v>3.3300000000000003E-2</v>
      </c>
      <c r="M56" s="3">
        <f>L55+M55</f>
        <v>4.6040999999999981</v>
      </c>
      <c r="N56">
        <f t="shared" si="7"/>
        <v>5.4206555513999977</v>
      </c>
      <c r="O56">
        <v>7.3840000000000003</v>
      </c>
    </row>
    <row r="57" spans="12:16" x14ac:dyDescent="0.4">
      <c r="L57">
        <v>3.3300000000000003E-2</v>
      </c>
      <c r="M57" s="3">
        <f>L56+M56</f>
        <v>4.6373999999999977</v>
      </c>
      <c r="N57">
        <f t="shared" si="7"/>
        <v>5.4598614395999974</v>
      </c>
      <c r="O57">
        <v>6.4509999999999996</v>
      </c>
    </row>
    <row r="58" spans="12:16" x14ac:dyDescent="0.4">
      <c r="L58">
        <v>3.3300000000000003E-2</v>
      </c>
      <c r="M58" s="3">
        <f>L57+M57</f>
        <v>4.6706999999999974</v>
      </c>
      <c r="N58">
        <f t="shared" si="7"/>
        <v>5.4990673277999971</v>
      </c>
      <c r="O58">
        <v>6.1509999999999998</v>
      </c>
    </row>
    <row r="59" spans="12:16" x14ac:dyDescent="0.4">
      <c r="L59">
        <v>3.3300000000000003E-2</v>
      </c>
      <c r="M59" s="3">
        <f>L58+M58</f>
        <v>4.7039999999999971</v>
      </c>
      <c r="N59">
        <f t="shared" si="7"/>
        <v>5.5382732159999968</v>
      </c>
      <c r="O59">
        <v>3.984</v>
      </c>
      <c r="P59" t="s">
        <v>14</v>
      </c>
    </row>
    <row r="60" spans="12:16" x14ac:dyDescent="0.4">
      <c r="L60">
        <v>6.6600000000000006E-2</v>
      </c>
      <c r="M60" s="3">
        <f>L59+M59</f>
        <v>4.7372999999999967</v>
      </c>
      <c r="N60">
        <f t="shared" si="7"/>
        <v>5.5774791041999965</v>
      </c>
      <c r="O60">
        <v>9.1340000000000003</v>
      </c>
    </row>
    <row r="61" spans="12:16" x14ac:dyDescent="0.4">
      <c r="L61">
        <v>6.6600000000000006E-2</v>
      </c>
      <c r="M61" s="3">
        <f>L60+M60</f>
        <v>4.803899999999997</v>
      </c>
      <c r="N61">
        <f t="shared" si="7"/>
        <v>5.6558908805999968</v>
      </c>
      <c r="O61">
        <v>10.183999999999999</v>
      </c>
    </row>
    <row r="62" spans="12:16" x14ac:dyDescent="0.4">
      <c r="L62">
        <v>6.6600000000000006E-2</v>
      </c>
      <c r="M62" s="3">
        <f>L61+M61</f>
        <v>4.8704999999999972</v>
      </c>
      <c r="N62">
        <f t="shared" si="7"/>
        <v>5.7343026569999971</v>
      </c>
      <c r="O62">
        <v>11.159000000000001</v>
      </c>
    </row>
    <row r="63" spans="12:16" x14ac:dyDescent="0.4">
      <c r="L63">
        <v>6.6600000000000006E-2</v>
      </c>
      <c r="M63" s="3">
        <f>L62+M62</f>
        <v>4.9370999999999974</v>
      </c>
      <c r="N63">
        <f t="shared" si="7"/>
        <v>5.8127144333999974</v>
      </c>
      <c r="O63">
        <v>12.659000000000001</v>
      </c>
    </row>
    <row r="64" spans="12:16" x14ac:dyDescent="0.4">
      <c r="L64">
        <v>6.6600000000000006E-2</v>
      </c>
      <c r="M64" s="3">
        <f>L63+M63</f>
        <v>5.0036999999999976</v>
      </c>
      <c r="N64">
        <f t="shared" si="7"/>
        <v>5.8911262097999968</v>
      </c>
      <c r="O64">
        <v>14.308999999999999</v>
      </c>
    </row>
    <row r="65" spans="12:16" x14ac:dyDescent="0.4">
      <c r="L65">
        <v>6.6600000000000006E-2</v>
      </c>
      <c r="M65" s="3">
        <f>L64+M64</f>
        <v>5.0702999999999978</v>
      </c>
      <c r="N65">
        <f t="shared" si="7"/>
        <v>5.9695379861999971</v>
      </c>
      <c r="O65">
        <v>13.334</v>
      </c>
      <c r="P65" t="s">
        <v>15</v>
      </c>
    </row>
    <row r="66" spans="12:16" x14ac:dyDescent="0.4">
      <c r="L66">
        <v>6.6600000000000006E-2</v>
      </c>
      <c r="M66" s="3">
        <f>L65+M65</f>
        <v>5.136899999999998</v>
      </c>
      <c r="N66">
        <f t="shared" si="7"/>
        <v>6.0479497625999974</v>
      </c>
      <c r="O66">
        <v>10.409000000000001</v>
      </c>
    </row>
    <row r="67" spans="12:16" x14ac:dyDescent="0.4">
      <c r="L67">
        <v>6.6600000000000006E-2</v>
      </c>
      <c r="M67" s="3">
        <f>L66+M66</f>
        <v>5.2034999999999982</v>
      </c>
      <c r="N67">
        <f t="shared" si="7"/>
        <v>6.1263615389999977</v>
      </c>
      <c r="O67">
        <v>6.609</v>
      </c>
    </row>
    <row r="68" spans="12:16" x14ac:dyDescent="0.4">
      <c r="L68">
        <v>6.6600000000000006E-2</v>
      </c>
      <c r="M68" s="3">
        <f>L67+M67</f>
        <v>5.2700999999999985</v>
      </c>
      <c r="N68">
        <f t="shared" ref="N68:N69" si="27">M68*1.177354</f>
        <v>6.204773315399998</v>
      </c>
      <c r="O68">
        <v>4.1589999999999998</v>
      </c>
    </row>
    <row r="69" spans="12:16" x14ac:dyDescent="0.4">
      <c r="M69" s="3">
        <f>L68+M68</f>
        <v>5.3366999999999987</v>
      </c>
      <c r="N69">
        <f t="shared" si="27"/>
        <v>6.2831850917999983</v>
      </c>
      <c r="O69" s="5">
        <v>6.9669999999999996</v>
      </c>
    </row>
    <row r="70" spans="12:16" x14ac:dyDescent="0.4">
      <c r="M70" t="s">
        <v>18</v>
      </c>
      <c r="N70">
        <v>5.3367000000000004</v>
      </c>
      <c r="O70" t="s">
        <v>20</v>
      </c>
    </row>
    <row r="71" spans="12:16" x14ac:dyDescent="0.4">
      <c r="M71" t="s">
        <v>17</v>
      </c>
      <c r="N71">
        <f>2*PI()/N70</f>
        <v>1.1773540403581961</v>
      </c>
      <c r="O7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浩然 白</cp:lastModifiedBy>
  <dcterms:created xsi:type="dcterms:W3CDTF">2015-06-05T18:19:34Z</dcterms:created>
  <dcterms:modified xsi:type="dcterms:W3CDTF">2025-12-06T19:56:26Z</dcterms:modified>
</cp:coreProperties>
</file>